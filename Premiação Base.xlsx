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lli\Desktop\Base dos Arquivos\Outros\"/>
    </mc:Choice>
  </mc:AlternateContent>
  <xr:revisionPtr revIDLastSave="0" documentId="13_ncr:1_{0DC00A18-A22C-4664-9ADF-09CB9BFEC726}" xr6:coauthVersionLast="47" xr6:coauthVersionMax="47" xr10:uidLastSave="{00000000-0000-0000-0000-000000000000}"/>
  <bookViews>
    <workbookView xWindow="-108" yWindow="-108" windowWidth="23256" windowHeight="12456" tabRatio="766" activeTab="5" xr2:uid="{00000000-000D-0000-FFFF-FFFF00000000}"/>
  </bookViews>
  <sheets>
    <sheet name="Regras Premiação" sheetId="2" r:id="rId1"/>
    <sheet name="Base App" sheetId="59" r:id="rId2"/>
    <sheet name="Dados" sheetId="7" state="hidden" r:id="rId3"/>
    <sheet name="Regras Premiação (3)" sheetId="61" state="hidden" r:id="rId4"/>
    <sheet name="Quadro Geral Teste" sheetId="64" state="hidden" r:id="rId5"/>
    <sheet name="Base" sheetId="66" r:id="rId6"/>
    <sheet name="Quadro Geral (Treb 100%)" sheetId="44" state="hidden" r:id="rId7"/>
    <sheet name="Quadro Geral" sheetId="1" r:id="rId8"/>
    <sheet name="Edinaldo" sheetId="8" state="hidden" r:id="rId9"/>
    <sheet name="Thieude" sheetId="9" state="hidden" r:id="rId10"/>
    <sheet name="Liliane" sheetId="10" state="hidden" r:id="rId11"/>
    <sheet name="Welessandra" sheetId="11" state="hidden" r:id="rId12"/>
    <sheet name="Carla" sheetId="49" state="hidden" r:id="rId13"/>
    <sheet name="Promotores" sheetId="13" r:id="rId14"/>
    <sheet name="Promotores (2)" sheetId="67" state="hidden" r:id="rId15"/>
    <sheet name="Promotores (3)" sheetId="68" state="hidden" r:id="rId16"/>
    <sheet name="Amanda" sheetId="15" state="hidden" r:id="rId17"/>
    <sheet name="Andressa Neves" sheetId="16" state="hidden" r:id="rId18"/>
    <sheet name="Angela" sheetId="17" state="hidden" r:id="rId19"/>
    <sheet name="Beatriz" sheetId="18" state="hidden" r:id="rId20"/>
    <sheet name="Cleane B." sheetId="58" state="hidden" r:id="rId21"/>
    <sheet name="Cleisse" sheetId="32" state="hidden" r:id="rId22"/>
    <sheet name="Domingas" sheetId="23" state="hidden" r:id="rId23"/>
    <sheet name="Elenilde" sheetId="24" state="hidden" r:id="rId24"/>
    <sheet name="Érica" sheetId="25" state="hidden" r:id="rId25"/>
    <sheet name="Sheyla" sheetId="51" state="hidden" r:id="rId26"/>
    <sheet name="Kelsiane" sheetId="27" state="hidden" r:id="rId27"/>
    <sheet name="Mailane" sheetId="29" state="hidden" r:id="rId28"/>
    <sheet name="Maria" sheetId="31" state="hidden" r:id="rId29"/>
    <sheet name="Marília" sheetId="26" state="hidden" r:id="rId30"/>
    <sheet name="Nazaré" sheetId="33" state="hidden" r:id="rId31"/>
    <sheet name="Pat. Cris" sheetId="55" state="hidden" r:id="rId32"/>
    <sheet name="Pat. Regina" sheetId="56" state="hidden" r:id="rId33"/>
    <sheet name="Rariel" sheetId="36" state="hidden" r:id="rId34"/>
    <sheet name="Rayara" sheetId="37" state="hidden" r:id="rId35"/>
    <sheet name="Rosicleia" sheetId="39" state="hidden" r:id="rId36"/>
    <sheet name="Sandra" sheetId="52" state="hidden" r:id="rId37"/>
    <sheet name="Sildieny" sheetId="41" state="hidden" r:id="rId38"/>
    <sheet name="Nargila" sheetId="60" state="hidden" r:id="rId39"/>
    <sheet name="Regras Premiação sem S&amp;V" sheetId="45" state="hidden" r:id="rId40"/>
    <sheet name="Regras Premiação (2)" sheetId="47" state="hidden" r:id="rId41"/>
  </sheets>
  <definedNames>
    <definedName name="_xlnm._FilterDatabase" localSheetId="1" hidden="1">'Base App'!$A$2:$L$2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1" l="1"/>
  <c r="B32" i="1"/>
  <c r="B83" i="1"/>
  <c r="B44" i="1"/>
  <c r="O2" i="66"/>
  <c r="O150" i="66"/>
  <c r="O3" i="66"/>
  <c r="O4" i="66"/>
  <c r="O172" i="66"/>
  <c r="O265" i="66"/>
  <c r="O5" i="66"/>
  <c r="O6" i="66"/>
  <c r="O173" i="66"/>
  <c r="O7" i="66"/>
  <c r="O266" i="66"/>
  <c r="O174" i="66"/>
  <c r="O175" i="66"/>
  <c r="O8" i="66"/>
  <c r="O9" i="66"/>
  <c r="O190" i="66"/>
  <c r="O10" i="66"/>
  <c r="O151" i="66"/>
  <c r="O267" i="66"/>
  <c r="O268" i="66"/>
  <c r="O269" i="66"/>
  <c r="O11" i="66"/>
  <c r="O295" i="66"/>
  <c r="O296" i="66"/>
  <c r="O229" i="66"/>
  <c r="O12" i="66"/>
  <c r="O13" i="66"/>
  <c r="O14" i="66"/>
  <c r="O15" i="66"/>
  <c r="O16" i="66"/>
  <c r="O191" i="66"/>
  <c r="O192" i="66"/>
  <c r="O17" i="66"/>
  <c r="O193" i="66"/>
  <c r="O270" i="66"/>
  <c r="O230" i="66"/>
  <c r="O18" i="66"/>
  <c r="O194" i="66"/>
  <c r="O19" i="66"/>
  <c r="O20" i="66"/>
  <c r="O231" i="66"/>
  <c r="O21" i="66"/>
  <c r="O22" i="66"/>
  <c r="O176" i="66"/>
  <c r="O23" i="66"/>
  <c r="O24" i="66"/>
  <c r="O271" i="66"/>
  <c r="O25" i="66"/>
  <c r="O152" i="66"/>
  <c r="O232" i="66"/>
  <c r="O26" i="66"/>
  <c r="O297" i="66"/>
  <c r="O272" i="66"/>
  <c r="O27" i="66"/>
  <c r="O28" i="66"/>
  <c r="O273" i="66"/>
  <c r="O29" i="66"/>
  <c r="O30" i="66"/>
  <c r="O31" i="66"/>
  <c r="O298" i="66"/>
  <c r="O274" i="66"/>
  <c r="O275" i="66"/>
  <c r="O299" i="66"/>
  <c r="O153" i="66"/>
  <c r="O233" i="66"/>
  <c r="O32" i="66"/>
  <c r="O33" i="66"/>
  <c r="O154" i="66"/>
  <c r="O34" i="66"/>
  <c r="O234" i="66"/>
  <c r="O300" i="66"/>
  <c r="O195" i="66"/>
  <c r="O235" i="66"/>
  <c r="O35" i="66"/>
  <c r="O36" i="66"/>
  <c r="O236" i="66"/>
  <c r="O276" i="66"/>
  <c r="O301" i="66"/>
  <c r="O155" i="66"/>
  <c r="O37" i="66"/>
  <c r="O38" i="66"/>
  <c r="O39" i="66"/>
  <c r="O40" i="66"/>
  <c r="O237" i="66"/>
  <c r="O156" i="66"/>
  <c r="O302" i="66"/>
  <c r="O157" i="66"/>
  <c r="O277" i="66"/>
  <c r="O196" i="66"/>
  <c r="O197" i="66"/>
  <c r="O303" i="66"/>
  <c r="O158" i="66"/>
  <c r="O159" i="66"/>
  <c r="O278" i="66"/>
  <c r="O177" i="66"/>
  <c r="O41" i="66"/>
  <c r="O238" i="66"/>
  <c r="O42" i="66"/>
  <c r="O198" i="66"/>
  <c r="O178" i="66"/>
  <c r="O199" i="66"/>
  <c r="O43" i="66"/>
  <c r="O44" i="66"/>
  <c r="O279" i="66"/>
  <c r="O280" i="66"/>
  <c r="O45" i="66"/>
  <c r="O200" i="66"/>
  <c r="O46" i="66"/>
  <c r="O47" i="66"/>
  <c r="O48" i="66"/>
  <c r="O201" i="66"/>
  <c r="O304" i="66"/>
  <c r="O49" i="66"/>
  <c r="O50" i="66"/>
  <c r="O160" i="66"/>
  <c r="O179" i="66"/>
  <c r="O202" i="66"/>
  <c r="O305" i="66"/>
  <c r="O51" i="66"/>
  <c r="O180" i="66"/>
  <c r="O52" i="66"/>
  <c r="O203" i="66"/>
  <c r="O53" i="66"/>
  <c r="O54" i="66"/>
  <c r="O281" i="66"/>
  <c r="O55" i="66"/>
  <c r="O56" i="66"/>
  <c r="O57" i="66"/>
  <c r="O204" i="66"/>
  <c r="O239" i="66"/>
  <c r="O161" i="66"/>
  <c r="O58" i="66"/>
  <c r="O240" i="66"/>
  <c r="O59" i="66"/>
  <c r="O205" i="66"/>
  <c r="O206" i="66"/>
  <c r="O241" i="66"/>
  <c r="O60" i="66"/>
  <c r="O61" i="66"/>
  <c r="O306" i="66"/>
  <c r="O242" i="66"/>
  <c r="O282" i="66"/>
  <c r="O62" i="66"/>
  <c r="O283" i="66"/>
  <c r="O63" i="66"/>
  <c r="O307" i="66"/>
  <c r="O243" i="66"/>
  <c r="O64" i="66"/>
  <c r="O181" i="66"/>
  <c r="O65" i="66"/>
  <c r="O308" i="66"/>
  <c r="O244" i="66"/>
  <c r="O66" i="66"/>
  <c r="O67" i="66"/>
  <c r="O309" i="66"/>
  <c r="O162" i="66"/>
  <c r="O68" i="66"/>
  <c r="O69" i="66"/>
  <c r="O70" i="66"/>
  <c r="O310" i="66"/>
  <c r="O284" i="66"/>
  <c r="O245" i="66"/>
  <c r="O71" i="66"/>
  <c r="O72" i="66"/>
  <c r="O73" i="66"/>
  <c r="O74" i="66"/>
  <c r="O75" i="66"/>
  <c r="O311" i="66"/>
  <c r="O76" i="66"/>
  <c r="O246" i="66"/>
  <c r="O77" i="66"/>
  <c r="O78" i="66"/>
  <c r="O247" i="66"/>
  <c r="O248" i="66"/>
  <c r="O79" i="66"/>
  <c r="O80" i="66"/>
  <c r="O81" i="66"/>
  <c r="O82" i="66"/>
  <c r="O312" i="66"/>
  <c r="O83" i="66"/>
  <c r="O313" i="66"/>
  <c r="O249" i="66"/>
  <c r="O84" i="66"/>
  <c r="O85" i="66"/>
  <c r="O86" i="66"/>
  <c r="O207" i="66"/>
  <c r="O87" i="66"/>
  <c r="O88" i="66"/>
  <c r="O314" i="66"/>
  <c r="O89" i="66"/>
  <c r="O208" i="66"/>
  <c r="O209" i="66"/>
  <c r="O90" i="66"/>
  <c r="O163" i="66"/>
  <c r="O182" i="66"/>
  <c r="O285" i="66"/>
  <c r="O91" i="66"/>
  <c r="O286" i="66"/>
  <c r="O315" i="66"/>
  <c r="O164" i="66"/>
  <c r="O92" i="66"/>
  <c r="O93" i="66"/>
  <c r="O287" i="66"/>
  <c r="O210" i="66"/>
  <c r="O288" i="66"/>
  <c r="O94" i="66"/>
  <c r="O95" i="66"/>
  <c r="O96" i="66"/>
  <c r="O183" i="66"/>
  <c r="O97" i="66"/>
  <c r="O316" i="66"/>
  <c r="O250" i="66"/>
  <c r="O98" i="66"/>
  <c r="O99" i="66"/>
  <c r="O100" i="66"/>
  <c r="O211" i="66"/>
  <c r="O101" i="66"/>
  <c r="O212" i="66"/>
  <c r="O102" i="66"/>
  <c r="O317" i="66"/>
  <c r="O289" i="66"/>
  <c r="O103" i="66"/>
  <c r="O213" i="66"/>
  <c r="O104" i="66"/>
  <c r="O318" i="66"/>
  <c r="O251" i="66"/>
  <c r="O165" i="66"/>
  <c r="O319" i="66"/>
  <c r="O105" i="66"/>
  <c r="O214" i="66"/>
  <c r="O106" i="66"/>
  <c r="O252" i="66"/>
  <c r="O107" i="66"/>
  <c r="O108" i="66"/>
  <c r="O215" i="66"/>
  <c r="O216" i="66"/>
  <c r="O109" i="66"/>
  <c r="O110" i="66"/>
  <c r="O166" i="66"/>
  <c r="O111" i="66"/>
  <c r="O290" i="66"/>
  <c r="O291" i="66"/>
  <c r="O320" i="66"/>
  <c r="O217" i="66"/>
  <c r="O292" i="66"/>
  <c r="O112" i="66"/>
  <c r="O253" i="66"/>
  <c r="O218" i="66"/>
  <c r="O254" i="66"/>
  <c r="O113" i="66"/>
  <c r="O255" i="66"/>
  <c r="O256" i="66"/>
  <c r="O114" i="66"/>
  <c r="O115" i="66"/>
  <c r="O116" i="66"/>
  <c r="O117" i="66"/>
  <c r="O118" i="66"/>
  <c r="O119" i="66"/>
  <c r="O120" i="66"/>
  <c r="O321" i="66"/>
  <c r="O121" i="66"/>
  <c r="O257" i="66"/>
  <c r="O184" i="66"/>
  <c r="O293" i="66"/>
  <c r="O122" i="66"/>
  <c r="O258" i="66"/>
  <c r="O219" i="66"/>
  <c r="O167" i="66"/>
  <c r="O123" i="66"/>
  <c r="O124" i="66"/>
  <c r="O125" i="66"/>
  <c r="O126" i="66"/>
  <c r="O259" i="66"/>
  <c r="O168" i="66"/>
  <c r="O169" i="66"/>
  <c r="O127" i="66"/>
  <c r="O220" i="66"/>
  <c r="O128" i="66"/>
  <c r="O129" i="66"/>
  <c r="O130" i="66"/>
  <c r="O322" i="66"/>
  <c r="O260" i="66"/>
  <c r="O131" i="66"/>
  <c r="O185" i="66"/>
  <c r="O132" i="66"/>
  <c r="O133" i="66"/>
  <c r="O186" i="66"/>
  <c r="O134" i="66"/>
  <c r="O187" i="66"/>
  <c r="O221" i="66"/>
  <c r="O135" i="66"/>
  <c r="O136" i="66"/>
  <c r="O170" i="66"/>
  <c r="O222" i="66"/>
  <c r="O188" i="66"/>
  <c r="O223" i="66"/>
  <c r="O323" i="66"/>
  <c r="O137" i="66"/>
  <c r="O261" i="66"/>
  <c r="O138" i="66"/>
  <c r="O139" i="66"/>
  <c r="O171" i="66"/>
  <c r="O140" i="66"/>
  <c r="O141" i="66"/>
  <c r="O224" i="66"/>
  <c r="O142" i="66"/>
  <c r="O294" i="66"/>
  <c r="O143" i="66"/>
  <c r="O225" i="66"/>
  <c r="O262" i="66"/>
  <c r="O144" i="66"/>
  <c r="O145" i="66"/>
  <c r="O146" i="66"/>
  <c r="O263" i="66"/>
  <c r="O226" i="66"/>
  <c r="O147" i="66"/>
  <c r="O264" i="66"/>
  <c r="O189" i="66"/>
  <c r="O227" i="66"/>
  <c r="O228" i="66"/>
  <c r="O148" i="66"/>
  <c r="O149" i="66"/>
  <c r="P2" i="66"/>
  <c r="Q83" i="1" s="1"/>
  <c r="P150" i="66"/>
  <c r="P3" i="66"/>
  <c r="P4" i="66"/>
  <c r="P172" i="66"/>
  <c r="Q33" i="1" s="1"/>
  <c r="P265" i="66"/>
  <c r="P5" i="66"/>
  <c r="P6" i="66"/>
  <c r="P173" i="66"/>
  <c r="P7" i="66"/>
  <c r="P266" i="66"/>
  <c r="P174" i="66"/>
  <c r="P175" i="66"/>
  <c r="P8" i="66"/>
  <c r="P9" i="66"/>
  <c r="P190" i="66"/>
  <c r="P10" i="66"/>
  <c r="P151" i="66"/>
  <c r="P267" i="66"/>
  <c r="P268" i="66"/>
  <c r="P269" i="66"/>
  <c r="P11" i="66"/>
  <c r="P295" i="66"/>
  <c r="P296" i="66"/>
  <c r="P229" i="66"/>
  <c r="P12" i="66"/>
  <c r="P13" i="66"/>
  <c r="P14" i="66"/>
  <c r="P15" i="66"/>
  <c r="P16" i="66"/>
  <c r="P191" i="66"/>
  <c r="P192" i="66"/>
  <c r="P17" i="66"/>
  <c r="P193" i="66"/>
  <c r="P270" i="66"/>
  <c r="P230" i="66"/>
  <c r="P18" i="66"/>
  <c r="P194" i="66"/>
  <c r="P19" i="66"/>
  <c r="P20" i="66"/>
  <c r="P231" i="66"/>
  <c r="P21" i="66"/>
  <c r="P22" i="66"/>
  <c r="P176" i="66"/>
  <c r="P23" i="66"/>
  <c r="P24" i="66"/>
  <c r="P271" i="66"/>
  <c r="P25" i="66"/>
  <c r="P152" i="66"/>
  <c r="P232" i="66"/>
  <c r="P26" i="66"/>
  <c r="P297" i="66"/>
  <c r="P272" i="66"/>
  <c r="P27" i="66"/>
  <c r="P28" i="66"/>
  <c r="P273" i="66"/>
  <c r="P29" i="66"/>
  <c r="P30" i="66"/>
  <c r="P31" i="66"/>
  <c r="P298" i="66"/>
  <c r="P274" i="66"/>
  <c r="P275" i="66"/>
  <c r="P299" i="66"/>
  <c r="P153" i="66"/>
  <c r="P233" i="66"/>
  <c r="P32" i="66"/>
  <c r="P33" i="66"/>
  <c r="P154" i="66"/>
  <c r="P34" i="66"/>
  <c r="P234" i="66"/>
  <c r="P300" i="66"/>
  <c r="P195" i="66"/>
  <c r="P235" i="66"/>
  <c r="P35" i="66"/>
  <c r="P36" i="66"/>
  <c r="P236" i="66"/>
  <c r="P276" i="66"/>
  <c r="P301" i="66"/>
  <c r="P155" i="66"/>
  <c r="P37" i="66"/>
  <c r="P38" i="66"/>
  <c r="P39" i="66"/>
  <c r="P40" i="66"/>
  <c r="P237" i="66"/>
  <c r="P156" i="66"/>
  <c r="P302" i="66"/>
  <c r="P157" i="66"/>
  <c r="P277" i="66"/>
  <c r="P196" i="66"/>
  <c r="P197" i="66"/>
  <c r="P303" i="66"/>
  <c r="P158" i="66"/>
  <c r="P159" i="66"/>
  <c r="P278" i="66"/>
  <c r="P177" i="66"/>
  <c r="P41" i="66"/>
  <c r="P238" i="66"/>
  <c r="P42" i="66"/>
  <c r="P198" i="66"/>
  <c r="P178" i="66"/>
  <c r="P199" i="66"/>
  <c r="P43" i="66"/>
  <c r="P44" i="66"/>
  <c r="P279" i="66"/>
  <c r="P280" i="66"/>
  <c r="P45" i="66"/>
  <c r="P200" i="66"/>
  <c r="P46" i="66"/>
  <c r="P47" i="66"/>
  <c r="P48" i="66"/>
  <c r="P201" i="66"/>
  <c r="P304" i="66"/>
  <c r="P49" i="66"/>
  <c r="P50" i="66"/>
  <c r="P160" i="66"/>
  <c r="P179" i="66"/>
  <c r="P202" i="66"/>
  <c r="P305" i="66"/>
  <c r="P51" i="66"/>
  <c r="P180" i="66"/>
  <c r="P52" i="66"/>
  <c r="P203" i="66"/>
  <c r="P53" i="66"/>
  <c r="P54" i="66"/>
  <c r="P281" i="66"/>
  <c r="P55" i="66"/>
  <c r="P56" i="66"/>
  <c r="P57" i="66"/>
  <c r="P204" i="66"/>
  <c r="P239" i="66"/>
  <c r="P161" i="66"/>
  <c r="P58" i="66"/>
  <c r="P240" i="66"/>
  <c r="P59" i="66"/>
  <c r="P205" i="66"/>
  <c r="P206" i="66"/>
  <c r="P241" i="66"/>
  <c r="P60" i="66"/>
  <c r="P61" i="66"/>
  <c r="P306" i="66"/>
  <c r="P242" i="66"/>
  <c r="P282" i="66"/>
  <c r="P62" i="66"/>
  <c r="P283" i="66"/>
  <c r="P63" i="66"/>
  <c r="P307" i="66"/>
  <c r="P243" i="66"/>
  <c r="P64" i="66"/>
  <c r="P181" i="66"/>
  <c r="P65" i="66"/>
  <c r="P308" i="66"/>
  <c r="P244" i="66"/>
  <c r="P66" i="66"/>
  <c r="P67" i="66"/>
  <c r="P309" i="66"/>
  <c r="P162" i="66"/>
  <c r="P68" i="66"/>
  <c r="P69" i="66"/>
  <c r="P70" i="66"/>
  <c r="P310" i="66"/>
  <c r="P284" i="66"/>
  <c r="P245" i="66"/>
  <c r="P71" i="66"/>
  <c r="P72" i="66"/>
  <c r="P73" i="66"/>
  <c r="P74" i="66"/>
  <c r="P75" i="66"/>
  <c r="P311" i="66"/>
  <c r="P76" i="66"/>
  <c r="P246" i="66"/>
  <c r="P77" i="66"/>
  <c r="P78" i="66"/>
  <c r="P247" i="66"/>
  <c r="P248" i="66"/>
  <c r="P79" i="66"/>
  <c r="P80" i="66"/>
  <c r="P81" i="66"/>
  <c r="P82" i="66"/>
  <c r="P312" i="66"/>
  <c r="P83" i="66"/>
  <c r="P313" i="66"/>
  <c r="P249" i="66"/>
  <c r="P84" i="66"/>
  <c r="P85" i="66"/>
  <c r="P86" i="66"/>
  <c r="P207" i="66"/>
  <c r="P87" i="66"/>
  <c r="P88" i="66"/>
  <c r="P314" i="66"/>
  <c r="P89" i="66"/>
  <c r="P208" i="66"/>
  <c r="P209" i="66"/>
  <c r="P90" i="66"/>
  <c r="P163" i="66"/>
  <c r="P182" i="66"/>
  <c r="P285" i="66"/>
  <c r="P91" i="66"/>
  <c r="P286" i="66"/>
  <c r="P315" i="66"/>
  <c r="P164" i="66"/>
  <c r="P92" i="66"/>
  <c r="P93" i="66"/>
  <c r="P287" i="66"/>
  <c r="P210" i="66"/>
  <c r="P288" i="66"/>
  <c r="P94" i="66"/>
  <c r="P95" i="66"/>
  <c r="P96" i="66"/>
  <c r="P183" i="66"/>
  <c r="P97" i="66"/>
  <c r="P316" i="66"/>
  <c r="P250" i="66"/>
  <c r="P98" i="66"/>
  <c r="P99" i="66"/>
  <c r="P100" i="66"/>
  <c r="P211" i="66"/>
  <c r="P101" i="66"/>
  <c r="P212" i="66"/>
  <c r="P102" i="66"/>
  <c r="P317" i="66"/>
  <c r="P289" i="66"/>
  <c r="P103" i="66"/>
  <c r="P213" i="66"/>
  <c r="P104" i="66"/>
  <c r="P318" i="66"/>
  <c r="P251" i="66"/>
  <c r="P165" i="66"/>
  <c r="P319" i="66"/>
  <c r="P105" i="66"/>
  <c r="P214" i="66"/>
  <c r="P106" i="66"/>
  <c r="P252" i="66"/>
  <c r="P107" i="66"/>
  <c r="P108" i="66"/>
  <c r="P215" i="66"/>
  <c r="P216" i="66"/>
  <c r="P109" i="66"/>
  <c r="P110" i="66"/>
  <c r="P166" i="66"/>
  <c r="P111" i="66"/>
  <c r="P290" i="66"/>
  <c r="P291" i="66"/>
  <c r="P320" i="66"/>
  <c r="P217" i="66"/>
  <c r="P292" i="66"/>
  <c r="P112" i="66"/>
  <c r="P253" i="66"/>
  <c r="P218" i="66"/>
  <c r="P254" i="66"/>
  <c r="P113" i="66"/>
  <c r="P255" i="66"/>
  <c r="P256" i="66"/>
  <c r="P114" i="66"/>
  <c r="P115" i="66"/>
  <c r="P116" i="66"/>
  <c r="P117" i="66"/>
  <c r="P118" i="66"/>
  <c r="P119" i="66"/>
  <c r="P120" i="66"/>
  <c r="P321" i="66"/>
  <c r="P121" i="66"/>
  <c r="P257" i="66"/>
  <c r="P184" i="66"/>
  <c r="P293" i="66"/>
  <c r="P122" i="66"/>
  <c r="P258" i="66"/>
  <c r="P219" i="66"/>
  <c r="P167" i="66"/>
  <c r="P123" i="66"/>
  <c r="P124" i="66"/>
  <c r="P125" i="66"/>
  <c r="P126" i="66"/>
  <c r="P259" i="66"/>
  <c r="P168" i="66"/>
  <c r="P169" i="66"/>
  <c r="P127" i="66"/>
  <c r="P220" i="66"/>
  <c r="P128" i="66"/>
  <c r="P129" i="66"/>
  <c r="P130" i="66"/>
  <c r="P322" i="66"/>
  <c r="P260" i="66"/>
  <c r="P131" i="66"/>
  <c r="P185" i="66"/>
  <c r="P132" i="66"/>
  <c r="P133" i="66"/>
  <c r="P186" i="66"/>
  <c r="P134" i="66"/>
  <c r="P187" i="66"/>
  <c r="P221" i="66"/>
  <c r="P135" i="66"/>
  <c r="P136" i="66"/>
  <c r="P170" i="66"/>
  <c r="P222" i="66"/>
  <c r="P188" i="66"/>
  <c r="P223" i="66"/>
  <c r="P323" i="66"/>
  <c r="P137" i="66"/>
  <c r="P261" i="66"/>
  <c r="P138" i="66"/>
  <c r="P139" i="66"/>
  <c r="P171" i="66"/>
  <c r="P140" i="66"/>
  <c r="P141" i="66"/>
  <c r="P224" i="66"/>
  <c r="P142" i="66"/>
  <c r="P294" i="66"/>
  <c r="P143" i="66"/>
  <c r="P225" i="66"/>
  <c r="P262" i="66"/>
  <c r="P144" i="66"/>
  <c r="P145" i="66"/>
  <c r="P146" i="66"/>
  <c r="P263" i="66"/>
  <c r="P226" i="66"/>
  <c r="P147" i="66"/>
  <c r="P264" i="66"/>
  <c r="P189" i="66"/>
  <c r="P227" i="66"/>
  <c r="P228" i="66"/>
  <c r="P148" i="66"/>
  <c r="P149" i="66"/>
  <c r="F34" i="59"/>
  <c r="F35" i="59"/>
  <c r="I34" i="59"/>
  <c r="I35" i="59"/>
  <c r="V17" i="1"/>
  <c r="F3" i="59"/>
  <c r="F4" i="59"/>
  <c r="F5" i="59"/>
  <c r="R20" i="1" s="1"/>
  <c r="F6" i="59"/>
  <c r="F7" i="59"/>
  <c r="F8" i="59"/>
  <c r="R27" i="1" s="1"/>
  <c r="F9" i="59"/>
  <c r="F10" i="59"/>
  <c r="R82" i="1" s="1"/>
  <c r="F11" i="59"/>
  <c r="F12" i="59"/>
  <c r="R28" i="1" s="1"/>
  <c r="F13" i="59"/>
  <c r="F14" i="59"/>
  <c r="R41" i="1" s="1"/>
  <c r="F15" i="59"/>
  <c r="F16" i="59"/>
  <c r="F17" i="59"/>
  <c r="F18" i="59"/>
  <c r="F19" i="59"/>
  <c r="F20" i="59"/>
  <c r="F21" i="59"/>
  <c r="F22" i="59"/>
  <c r="F23" i="59"/>
  <c r="F24" i="59"/>
  <c r="R19" i="1" s="1"/>
  <c r="F25" i="59"/>
  <c r="F26" i="59"/>
  <c r="R17" i="1" s="1"/>
  <c r="F27" i="59"/>
  <c r="F28" i="59"/>
  <c r="F29" i="59"/>
  <c r="F30" i="59"/>
  <c r="F31" i="59"/>
  <c r="F32" i="59"/>
  <c r="F33" i="59"/>
  <c r="R84" i="1" s="1"/>
  <c r="I3" i="59"/>
  <c r="I4" i="59"/>
  <c r="I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J8" i="67"/>
  <c r="S64" i="1"/>
  <c r="S76" i="1"/>
  <c r="R80" i="1"/>
  <c r="R8" i="1"/>
  <c r="R9" i="1"/>
  <c r="R10" i="1"/>
  <c r="R11" i="1"/>
  <c r="R12" i="1"/>
  <c r="R13" i="1"/>
  <c r="R15" i="1"/>
  <c r="R16" i="1"/>
  <c r="R18" i="1"/>
  <c r="R21" i="1"/>
  <c r="R22" i="1"/>
  <c r="R23" i="1"/>
  <c r="R24" i="1"/>
  <c r="R25" i="1"/>
  <c r="R26" i="1"/>
  <c r="R31" i="1"/>
  <c r="R32" i="1"/>
  <c r="R33" i="1"/>
  <c r="R34" i="1"/>
  <c r="R35" i="1"/>
  <c r="R37" i="1"/>
  <c r="R38" i="1"/>
  <c r="R39" i="1"/>
  <c r="R40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81" i="1"/>
  <c r="R83" i="1"/>
  <c r="R36" i="1"/>
  <c r="H2" i="1"/>
  <c r="S52" i="1" l="1"/>
  <c r="B80" i="1"/>
  <c r="B69" i="1"/>
  <c r="B21" i="1"/>
  <c r="Q67" i="1"/>
  <c r="B9" i="1"/>
  <c r="Q81" i="1"/>
  <c r="B57" i="1"/>
  <c r="B81" i="1"/>
  <c r="B82" i="1"/>
  <c r="S17" i="1"/>
  <c r="S40" i="1"/>
  <c r="S28" i="1"/>
  <c r="S16" i="1"/>
  <c r="Q55" i="1"/>
  <c r="B45" i="1"/>
  <c r="Q37" i="1"/>
  <c r="B33" i="1"/>
  <c r="Q13" i="1"/>
  <c r="B67" i="1"/>
  <c r="B55" i="1"/>
  <c r="B43" i="1"/>
  <c r="B31" i="1"/>
  <c r="B19" i="1"/>
  <c r="B74" i="1"/>
  <c r="S74" i="1"/>
  <c r="S62" i="1"/>
  <c r="S50" i="1"/>
  <c r="F50" i="1" s="1"/>
  <c r="S38" i="1"/>
  <c r="S26" i="1"/>
  <c r="S14" i="1"/>
  <c r="Q28" i="1"/>
  <c r="S39" i="1"/>
  <c r="Q32" i="1"/>
  <c r="Q64" i="1"/>
  <c r="Q51" i="1"/>
  <c r="Q31" i="1"/>
  <c r="Q10" i="1"/>
  <c r="B79" i="1"/>
  <c r="B66" i="1"/>
  <c r="B54" i="1"/>
  <c r="B42" i="1"/>
  <c r="L42" i="1" s="1"/>
  <c r="B30" i="1"/>
  <c r="B18" i="1"/>
  <c r="Q34" i="1"/>
  <c r="S73" i="1"/>
  <c r="S61" i="1"/>
  <c r="S49" i="1"/>
  <c r="S37" i="1"/>
  <c r="S25" i="1"/>
  <c r="S13" i="1"/>
  <c r="Q80" i="1"/>
  <c r="B56" i="1"/>
  <c r="S63" i="1"/>
  <c r="Q11" i="1"/>
  <c r="Q63" i="1"/>
  <c r="Q26" i="1"/>
  <c r="B53" i="1"/>
  <c r="B41" i="1"/>
  <c r="B29" i="1"/>
  <c r="B17" i="1"/>
  <c r="S72" i="1"/>
  <c r="S60" i="1"/>
  <c r="S48" i="1"/>
  <c r="S36" i="1"/>
  <c r="S24" i="1"/>
  <c r="S12" i="1"/>
  <c r="Q52" i="1"/>
  <c r="B68" i="1"/>
  <c r="S15" i="1"/>
  <c r="Q65" i="1"/>
  <c r="Q76" i="1"/>
  <c r="Q75" i="1"/>
  <c r="Q50" i="1"/>
  <c r="Q9" i="1"/>
  <c r="B77" i="1"/>
  <c r="B64" i="1"/>
  <c r="B52" i="1"/>
  <c r="M52" i="1" s="1"/>
  <c r="B40" i="1"/>
  <c r="B28" i="1"/>
  <c r="B16" i="1"/>
  <c r="S83" i="1"/>
  <c r="N83" i="1" s="1"/>
  <c r="S71" i="1"/>
  <c r="S59" i="1"/>
  <c r="S47" i="1"/>
  <c r="S35" i="1"/>
  <c r="S23" i="1"/>
  <c r="S11" i="1"/>
  <c r="Q36" i="1"/>
  <c r="Q43" i="1"/>
  <c r="Q29" i="1"/>
  <c r="Q48" i="1"/>
  <c r="S75" i="1"/>
  <c r="B65" i="1"/>
  <c r="Q74" i="1"/>
  <c r="Q62" i="1"/>
  <c r="Q49" i="1"/>
  <c r="Q25" i="1"/>
  <c r="Q8" i="1"/>
  <c r="Q73" i="1"/>
  <c r="Q61" i="1"/>
  <c r="Q47" i="1"/>
  <c r="Q23" i="1"/>
  <c r="B76" i="1"/>
  <c r="B63" i="1"/>
  <c r="B51" i="1"/>
  <c r="B39" i="1"/>
  <c r="B27" i="1"/>
  <c r="B15" i="1"/>
  <c r="S82" i="1"/>
  <c r="S70" i="1"/>
  <c r="S58" i="1"/>
  <c r="S46" i="1"/>
  <c r="S34" i="1"/>
  <c r="S22" i="1"/>
  <c r="S10" i="1"/>
  <c r="Q17" i="1"/>
  <c r="B78" i="1"/>
  <c r="Q72" i="1"/>
  <c r="Q60" i="1"/>
  <c r="Q46" i="1"/>
  <c r="Q21" i="1"/>
  <c r="B75" i="1"/>
  <c r="B62" i="1"/>
  <c r="B50" i="1"/>
  <c r="L50" i="1" s="1"/>
  <c r="B38" i="1"/>
  <c r="B26" i="1"/>
  <c r="B14" i="1"/>
  <c r="M14" i="1" s="1"/>
  <c r="S81" i="1"/>
  <c r="S69" i="1"/>
  <c r="S57" i="1"/>
  <c r="S45" i="1"/>
  <c r="D17" i="13" s="1"/>
  <c r="S33" i="1"/>
  <c r="S21" i="1"/>
  <c r="S9" i="1"/>
  <c r="Q15" i="1"/>
  <c r="B20" i="1"/>
  <c r="S51" i="1"/>
  <c r="Q77" i="1"/>
  <c r="Q71" i="1"/>
  <c r="Q59" i="1"/>
  <c r="Q45" i="1"/>
  <c r="Q19" i="1"/>
  <c r="B73" i="1"/>
  <c r="B61" i="1"/>
  <c r="B49" i="1"/>
  <c r="B37" i="1"/>
  <c r="B25" i="1"/>
  <c r="B13" i="1"/>
  <c r="S80" i="1"/>
  <c r="S68" i="1"/>
  <c r="S56" i="1"/>
  <c r="S44" i="1"/>
  <c r="S32" i="1"/>
  <c r="S20" i="1"/>
  <c r="S8" i="1"/>
  <c r="H8" i="1" s="1"/>
  <c r="I8" i="1" s="1"/>
  <c r="Q24" i="1"/>
  <c r="Q38" i="1"/>
  <c r="Q22" i="1"/>
  <c r="B8" i="1"/>
  <c r="L8" i="1" s="1"/>
  <c r="S27" i="1"/>
  <c r="Q53" i="1"/>
  <c r="Q70" i="1"/>
  <c r="Q58" i="1"/>
  <c r="Q42" i="1"/>
  <c r="Q18" i="1"/>
  <c r="B72" i="1"/>
  <c r="B60" i="1"/>
  <c r="B48" i="1"/>
  <c r="B36" i="1"/>
  <c r="B24" i="1"/>
  <c r="B12" i="1"/>
  <c r="S79" i="1"/>
  <c r="S67" i="1"/>
  <c r="S55" i="1"/>
  <c r="S43" i="1"/>
  <c r="S31" i="1"/>
  <c r="S19" i="1"/>
  <c r="S84" i="1"/>
  <c r="D84" i="1" s="1"/>
  <c r="Q27" i="1"/>
  <c r="Q78" i="1"/>
  <c r="Q54" i="1"/>
  <c r="Q69" i="1"/>
  <c r="B71" i="1"/>
  <c r="B59" i="1"/>
  <c r="B47" i="1"/>
  <c r="B35" i="1"/>
  <c r="B23" i="1"/>
  <c r="B11" i="1"/>
  <c r="S78" i="1"/>
  <c r="S66" i="1"/>
  <c r="S54" i="1"/>
  <c r="S42" i="1"/>
  <c r="N42" i="1" s="1"/>
  <c r="S30" i="1"/>
  <c r="S18" i="1"/>
  <c r="B84" i="1"/>
  <c r="L84" i="1" s="1"/>
  <c r="Q66" i="1"/>
  <c r="Q35" i="1"/>
  <c r="Q12" i="1"/>
  <c r="Q57" i="1"/>
  <c r="Q40" i="1"/>
  <c r="Q16" i="1"/>
  <c r="Q68" i="1"/>
  <c r="Q56" i="1"/>
  <c r="Q39" i="1"/>
  <c r="Q14" i="1"/>
  <c r="B70" i="1"/>
  <c r="B58" i="1"/>
  <c r="B46" i="1"/>
  <c r="B34" i="1"/>
  <c r="B22" i="1"/>
  <c r="B10" i="1"/>
  <c r="S77" i="1"/>
  <c r="S65" i="1"/>
  <c r="S53" i="1"/>
  <c r="S41" i="1"/>
  <c r="S29" i="1"/>
  <c r="Q82" i="1"/>
  <c r="Q84" i="1"/>
  <c r="Q30" i="1"/>
  <c r="Q20" i="1"/>
  <c r="Q79" i="1"/>
  <c r="Q41" i="1"/>
  <c r="Q44" i="1"/>
  <c r="R29" i="1"/>
  <c r="R30" i="1"/>
  <c r="R79" i="1"/>
  <c r="L83" i="1"/>
  <c r="M83" i="1"/>
  <c r="C83" i="1"/>
  <c r="J50" i="1"/>
  <c r="K50" i="1" s="1"/>
  <c r="D50" i="1"/>
  <c r="D42" i="1"/>
  <c r="O42" i="1" s="1"/>
  <c r="C42" i="1"/>
  <c r="H50" i="1"/>
  <c r="N50" i="1"/>
  <c r="C50" i="1"/>
  <c r="D83" i="1" l="1"/>
  <c r="E83" i="1" s="1"/>
  <c r="F83" i="1"/>
  <c r="G83" i="1" s="1"/>
  <c r="H83" i="1"/>
  <c r="I83" i="1" s="1"/>
  <c r="J83" i="1"/>
  <c r="K83" i="1" s="1"/>
  <c r="J84" i="1"/>
  <c r="K84" i="1" s="1"/>
  <c r="B17" i="13"/>
  <c r="F42" i="1"/>
  <c r="J8" i="1"/>
  <c r="H42" i="1"/>
  <c r="M84" i="1"/>
  <c r="F84" i="1"/>
  <c r="G84" i="1" s="1"/>
  <c r="J42" i="1"/>
  <c r="K42" i="1" s="1"/>
  <c r="H84" i="1"/>
  <c r="C84" i="1"/>
  <c r="E84" i="1" s="1"/>
  <c r="N84" i="1"/>
  <c r="O84" i="1" s="1"/>
  <c r="O50" i="1"/>
  <c r="M50" i="1"/>
  <c r="M42" i="1"/>
  <c r="L54" i="1"/>
  <c r="L46" i="1"/>
  <c r="AF13" i="1"/>
  <c r="AG13" i="1" s="1"/>
  <c r="AD13" i="1"/>
  <c r="AE13" i="1" s="1"/>
  <c r="X17" i="1"/>
  <c r="AB17" i="1"/>
  <c r="Z17" i="1"/>
  <c r="L55" i="1"/>
  <c r="L16" i="1"/>
  <c r="L26" i="1"/>
  <c r="L28" i="1"/>
  <c r="L77" i="1"/>
  <c r="L52" i="1"/>
  <c r="L78" i="1"/>
  <c r="L14" i="1"/>
  <c r="L62" i="1"/>
  <c r="L63" i="1"/>
  <c r="L66" i="1"/>
  <c r="L68" i="1"/>
  <c r="L9" i="1"/>
  <c r="L69" i="1"/>
  <c r="L70" i="1"/>
  <c r="L35" i="1"/>
  <c r="L79" i="1"/>
  <c r="L73" i="1"/>
  <c r="J77" i="1"/>
  <c r="J52" i="1"/>
  <c r="K52" i="1" s="1"/>
  <c r="J14" i="1"/>
  <c r="J62" i="1"/>
  <c r="J66" i="1"/>
  <c r="J9" i="1"/>
  <c r="J35" i="1"/>
  <c r="K35" i="1" s="1"/>
  <c r="T50" i="2"/>
  <c r="AD8" i="1"/>
  <c r="AD10" i="1"/>
  <c r="AD11" i="1"/>
  <c r="AD12" i="1"/>
  <c r="O83" i="1" l="1"/>
  <c r="P83" i="1" s="1"/>
  <c r="I84" i="1"/>
  <c r="P84" i="1" s="1"/>
  <c r="N46" i="1"/>
  <c r="J46" i="1"/>
  <c r="K46" i="1" s="1"/>
  <c r="D78" i="1"/>
  <c r="J78" i="1"/>
  <c r="K78" i="1" s="1"/>
  <c r="D28" i="1"/>
  <c r="J28" i="1"/>
  <c r="K28" i="1" s="1"/>
  <c r="D63" i="1"/>
  <c r="E63" i="1" s="1"/>
  <c r="J63" i="1"/>
  <c r="K63" i="1" s="1"/>
  <c r="D70" i="1"/>
  <c r="E70" i="1" s="1"/>
  <c r="J70" i="1"/>
  <c r="K70" i="1" s="1"/>
  <c r="H26" i="1"/>
  <c r="J26" i="1"/>
  <c r="K26" i="1" s="1"/>
  <c r="D73" i="1"/>
  <c r="J73" i="1"/>
  <c r="K73" i="1" s="1"/>
  <c r="D79" i="1"/>
  <c r="J79" i="1"/>
  <c r="K79" i="1" s="1"/>
  <c r="D69" i="1"/>
  <c r="E69" i="1" s="1"/>
  <c r="J69" i="1"/>
  <c r="K69" i="1" s="1"/>
  <c r="D16" i="1"/>
  <c r="J16" i="1"/>
  <c r="N54" i="1"/>
  <c r="J54" i="1"/>
  <c r="K54" i="1" s="1"/>
  <c r="D55" i="1"/>
  <c r="E55" i="1" s="1"/>
  <c r="J55" i="1"/>
  <c r="K55" i="1" s="1"/>
  <c r="D68" i="1"/>
  <c r="E68" i="1" s="1"/>
  <c r="J68" i="1"/>
  <c r="I50" i="1"/>
  <c r="C9" i="1"/>
  <c r="M9" i="1"/>
  <c r="M55" i="1"/>
  <c r="M69" i="1"/>
  <c r="M68" i="1"/>
  <c r="M46" i="1"/>
  <c r="C66" i="1"/>
  <c r="P66" i="1" s="1"/>
  <c r="M66" i="1"/>
  <c r="M63" i="1"/>
  <c r="C62" i="1"/>
  <c r="P62" i="1" s="1"/>
  <c r="M62" i="1"/>
  <c r="C14" i="1"/>
  <c r="K14" i="1" s="1"/>
  <c r="M54" i="1"/>
  <c r="M78" i="1"/>
  <c r="C73" i="1"/>
  <c r="P73" i="1" s="1"/>
  <c r="M73" i="1"/>
  <c r="C52" i="1"/>
  <c r="C79" i="1"/>
  <c r="M79" i="1"/>
  <c r="C77" i="1"/>
  <c r="M77" i="1"/>
  <c r="C35" i="1"/>
  <c r="M35" i="1"/>
  <c r="C28" i="1"/>
  <c r="M28" i="1"/>
  <c r="C70" i="1"/>
  <c r="P70" i="1" s="1"/>
  <c r="M70" i="1"/>
  <c r="C26" i="1"/>
  <c r="M26" i="1"/>
  <c r="C16" i="1"/>
  <c r="M16" i="1"/>
  <c r="K77" i="1"/>
  <c r="K62" i="1"/>
  <c r="H54" i="1"/>
  <c r="D54" i="1"/>
  <c r="C54" i="1"/>
  <c r="F54" i="1"/>
  <c r="D77" i="1"/>
  <c r="E77" i="1" s="1"/>
  <c r="D26" i="1"/>
  <c r="F55" i="1"/>
  <c r="G55" i="1" s="1"/>
  <c r="F28" i="1"/>
  <c r="F73" i="1"/>
  <c r="G73" i="1" s="1"/>
  <c r="H55" i="1"/>
  <c r="I55" i="1" s="1"/>
  <c r="H28" i="1"/>
  <c r="H73" i="1"/>
  <c r="I73" i="1" s="1"/>
  <c r="F77" i="1"/>
  <c r="G77" i="1" s="1"/>
  <c r="F63" i="1"/>
  <c r="G63" i="1" s="1"/>
  <c r="H77" i="1"/>
  <c r="I77" i="1" s="1"/>
  <c r="H63" i="1"/>
  <c r="I63" i="1" s="1"/>
  <c r="F52" i="1"/>
  <c r="F35" i="1"/>
  <c r="H52" i="1"/>
  <c r="H35" i="1"/>
  <c r="D52" i="1"/>
  <c r="D35" i="1"/>
  <c r="E35" i="1" s="1"/>
  <c r="F16" i="1"/>
  <c r="G16" i="1" s="1"/>
  <c r="H16" i="1"/>
  <c r="F78" i="1"/>
  <c r="F66" i="1"/>
  <c r="G66" i="1" s="1"/>
  <c r="H78" i="1"/>
  <c r="I78" i="1" s="1"/>
  <c r="H66" i="1"/>
  <c r="I66" i="1" s="1"/>
  <c r="D66" i="1"/>
  <c r="E66" i="1" s="1"/>
  <c r="F46" i="1"/>
  <c r="H46" i="1"/>
  <c r="D46" i="1"/>
  <c r="F68" i="1"/>
  <c r="F79" i="1"/>
  <c r="H68" i="1"/>
  <c r="I68" i="1" s="1"/>
  <c r="H79" i="1"/>
  <c r="F14" i="1"/>
  <c r="G14" i="1" s="1"/>
  <c r="H14" i="1"/>
  <c r="I14" i="1" s="1"/>
  <c r="D14" i="1"/>
  <c r="E14" i="1" s="1"/>
  <c r="F62" i="1"/>
  <c r="G62" i="1" s="1"/>
  <c r="F9" i="1"/>
  <c r="G9" i="1" s="1"/>
  <c r="H62" i="1"/>
  <c r="I62" i="1" s="1"/>
  <c r="H9" i="1"/>
  <c r="I9" i="1" s="1"/>
  <c r="D62" i="1"/>
  <c r="E62" i="1" s="1"/>
  <c r="D9" i="1"/>
  <c r="E9" i="1" s="1"/>
  <c r="F69" i="1"/>
  <c r="G69" i="1" s="1"/>
  <c r="H69" i="1"/>
  <c r="I69" i="1" s="1"/>
  <c r="F26" i="1"/>
  <c r="F70" i="1"/>
  <c r="G70" i="1" s="1"/>
  <c r="H70" i="1"/>
  <c r="I70" i="1" s="1"/>
  <c r="E73" i="1"/>
  <c r="C46" i="1"/>
  <c r="AJ13" i="1"/>
  <c r="AK13" i="1" s="1"/>
  <c r="V13" i="1"/>
  <c r="AH13" i="1" s="1"/>
  <c r="X13" i="1"/>
  <c r="Y13" i="1" s="1"/>
  <c r="Z13" i="1"/>
  <c r="AA13" i="1" s="1"/>
  <c r="AB13" i="1"/>
  <c r="AC13" i="1" s="1"/>
  <c r="Z11" i="1"/>
  <c r="C55" i="1"/>
  <c r="N9" i="1"/>
  <c r="N55" i="1"/>
  <c r="C69" i="1"/>
  <c r="C63" i="1"/>
  <c r="P63" i="1" s="1"/>
  <c r="C68" i="1"/>
  <c r="C78" i="1"/>
  <c r="E78" i="1" s="1"/>
  <c r="N73" i="1"/>
  <c r="O73" i="1" s="1"/>
  <c r="N35" i="1"/>
  <c r="N79" i="1"/>
  <c r="O79" i="1" s="1"/>
  <c r="N14" i="1"/>
  <c r="O14" i="1" s="1"/>
  <c r="N52" i="1"/>
  <c r="N62" i="1"/>
  <c r="N77" i="1"/>
  <c r="N28" i="1"/>
  <c r="N78" i="1"/>
  <c r="O78" i="1" s="1"/>
  <c r="N70" i="1"/>
  <c r="N26" i="1"/>
  <c r="N69" i="1"/>
  <c r="N16" i="1"/>
  <c r="I16" i="1"/>
  <c r="N68" i="1"/>
  <c r="O68" i="1" s="1"/>
  <c r="N66" i="1"/>
  <c r="K66" i="1"/>
  <c r="N63" i="1"/>
  <c r="Z8" i="1"/>
  <c r="AB12" i="1"/>
  <c r="AC12" i="1" s="1"/>
  <c r="AB8" i="1"/>
  <c r="AJ12" i="1"/>
  <c r="AK12" i="1" s="1"/>
  <c r="X12" i="1"/>
  <c r="Y12" i="1" s="1"/>
  <c r="AB11" i="1"/>
  <c r="AJ8" i="1"/>
  <c r="AK8" i="1" s="1"/>
  <c r="AJ11" i="1"/>
  <c r="AK11" i="1" s="1"/>
  <c r="X11" i="1"/>
  <c r="X8" i="1"/>
  <c r="Z12" i="1"/>
  <c r="AA12" i="1" s="1"/>
  <c r="L75" i="1"/>
  <c r="J75" i="1"/>
  <c r="E79" i="1" l="1"/>
  <c r="O63" i="1"/>
  <c r="O16" i="1"/>
  <c r="K16" i="1"/>
  <c r="E16" i="1"/>
  <c r="O69" i="1"/>
  <c r="O70" i="1"/>
  <c r="I35" i="1"/>
  <c r="G35" i="1"/>
  <c r="M75" i="1"/>
  <c r="O26" i="1"/>
  <c r="G78" i="1"/>
  <c r="O54" i="1"/>
  <c r="O66" i="1"/>
  <c r="N75" i="1"/>
  <c r="D75" i="1"/>
  <c r="E75" i="1" s="1"/>
  <c r="H75" i="1"/>
  <c r="I75" i="1" s="1"/>
  <c r="F75" i="1"/>
  <c r="G75" i="1" s="1"/>
  <c r="O46" i="1"/>
  <c r="AL13" i="1"/>
  <c r="G68" i="1"/>
  <c r="K68" i="1"/>
  <c r="O77" i="1"/>
  <c r="O52" i="1"/>
  <c r="P69" i="1"/>
  <c r="O62" i="1"/>
  <c r="O55" i="1"/>
  <c r="O9" i="1"/>
  <c r="O28" i="1"/>
  <c r="O35" i="1"/>
  <c r="K75" i="1"/>
  <c r="C75" i="1"/>
  <c r="O75" i="1" l="1"/>
  <c r="P75" i="1" l="1"/>
  <c r="AJ21" i="1"/>
  <c r="AK21" i="1" s="1"/>
  <c r="J20" i="1"/>
  <c r="K20" i="1" s="1"/>
  <c r="P41" i="1"/>
  <c r="X21" i="1"/>
  <c r="Y21" i="1" s="1"/>
  <c r="AH21" i="1"/>
  <c r="AR8" i="2"/>
  <c r="AQ8" i="2"/>
  <c r="AR7" i="2"/>
  <c r="AQ7" i="2"/>
  <c r="AR6" i="2"/>
  <c r="AQ6" i="2"/>
  <c r="AR5" i="2"/>
  <c r="AQ5" i="2"/>
  <c r="V8" i="1"/>
  <c r="AH8" i="1" s="1"/>
  <c r="V11" i="1"/>
  <c r="AH11" i="1" s="1"/>
  <c r="V12" i="1"/>
  <c r="AH12" i="1" s="1"/>
  <c r="AG21" i="1"/>
  <c r="AF21" i="1"/>
  <c r="AE21" i="1"/>
  <c r="AD21" i="1"/>
  <c r="AB21" i="1"/>
  <c r="AC21" i="1" s="1"/>
  <c r="Z21" i="1"/>
  <c r="AA21" i="1" s="1"/>
  <c r="V21" i="1"/>
  <c r="M20" i="1" l="1"/>
  <c r="L20" i="1"/>
  <c r="D20" i="1"/>
  <c r="H20" i="1"/>
  <c r="F20" i="1"/>
  <c r="C20" i="1"/>
  <c r="N20" i="1"/>
  <c r="AL21" i="1"/>
  <c r="O20" i="1" l="1"/>
  <c r="L29" i="1"/>
  <c r="J29" i="1"/>
  <c r="K29" i="1" s="1"/>
  <c r="M29" i="1" l="1"/>
  <c r="D29" i="1"/>
  <c r="H29" i="1"/>
  <c r="F29" i="1"/>
  <c r="N29" i="1"/>
  <c r="C29" i="1"/>
  <c r="O29" i="1" l="1"/>
  <c r="L22" i="1" l="1"/>
  <c r="J22" i="1"/>
  <c r="K22" i="1" s="1"/>
  <c r="L65" i="1"/>
  <c r="J65" i="1"/>
  <c r="M65" i="1" l="1"/>
  <c r="M22" i="1"/>
  <c r="D22" i="1"/>
  <c r="H22" i="1"/>
  <c r="F22" i="1"/>
  <c r="N65" i="1"/>
  <c r="D65" i="1"/>
  <c r="E65" i="1" s="1"/>
  <c r="H65" i="1"/>
  <c r="I65" i="1" s="1"/>
  <c r="F65" i="1"/>
  <c r="G65" i="1" s="1"/>
  <c r="N22" i="1"/>
  <c r="C22" i="1"/>
  <c r="K65" i="1"/>
  <c r="C65" i="1"/>
  <c r="O22" i="1" l="1"/>
  <c r="E22" i="1"/>
  <c r="O65" i="1"/>
  <c r="P65" i="1" s="1"/>
  <c r="L37" i="1" l="1"/>
  <c r="L36" i="1"/>
  <c r="L40" i="1"/>
  <c r="L12" i="1"/>
  <c r="L21" i="1"/>
  <c r="L56" i="1"/>
  <c r="L32" i="1"/>
  <c r="L57" i="1"/>
  <c r="L10" i="1"/>
  <c r="L58" i="1"/>
  <c r="L47" i="1"/>
  <c r="L59" i="1"/>
  <c r="L13" i="1"/>
  <c r="L51" i="1"/>
  <c r="L60" i="1"/>
  <c r="L44" i="1"/>
  <c r="L27" i="1"/>
  <c r="L18" i="1"/>
  <c r="L82" i="1"/>
  <c r="L39" i="1"/>
  <c r="L41" i="1"/>
  <c r="L38" i="1"/>
  <c r="L15" i="1"/>
  <c r="L49" i="1"/>
  <c r="L81" i="1"/>
  <c r="L64" i="1"/>
  <c r="L24" i="1"/>
  <c r="L67" i="1"/>
  <c r="L30" i="1"/>
  <c r="L71" i="1"/>
  <c r="L11" i="1"/>
  <c r="L23" i="1"/>
  <c r="L45" i="1"/>
  <c r="L53" i="1"/>
  <c r="L19" i="1"/>
  <c r="L80" i="1"/>
  <c r="L17" i="1"/>
  <c r="L72" i="1"/>
  <c r="L25" i="1"/>
  <c r="L74" i="1"/>
  <c r="L34" i="1"/>
  <c r="L48" i="1"/>
  <c r="L43" i="1"/>
  <c r="L76" i="1"/>
  <c r="L31" i="1"/>
  <c r="L61" i="1"/>
  <c r="L33" i="1"/>
  <c r="J33" i="1"/>
  <c r="K33" i="1" s="1"/>
  <c r="J61" i="1"/>
  <c r="J31" i="1"/>
  <c r="K31" i="1" s="1"/>
  <c r="M31" i="1" l="1"/>
  <c r="M61" i="1"/>
  <c r="M58" i="1"/>
  <c r="M76" i="1"/>
  <c r="M57" i="1"/>
  <c r="M33" i="1"/>
  <c r="M71" i="1"/>
  <c r="M56" i="1"/>
  <c r="M74" i="1"/>
  <c r="M67" i="1"/>
  <c r="M60" i="1"/>
  <c r="M72" i="1"/>
  <c r="M64" i="1"/>
  <c r="M59" i="1"/>
  <c r="D31" i="1"/>
  <c r="H31" i="1"/>
  <c r="F31" i="1"/>
  <c r="N61" i="1"/>
  <c r="D61" i="1"/>
  <c r="E61" i="1" s="1"/>
  <c r="H61" i="1"/>
  <c r="F61" i="1"/>
  <c r="G61" i="1" s="1"/>
  <c r="D33" i="1"/>
  <c r="H33" i="1"/>
  <c r="F33" i="1"/>
  <c r="C31" i="1"/>
  <c r="N33" i="1"/>
  <c r="C33" i="1"/>
  <c r="N31" i="1"/>
  <c r="C61" i="1"/>
  <c r="O31" i="1" l="1"/>
  <c r="O33" i="1"/>
  <c r="O61" i="1"/>
  <c r="I61" i="1" l="1"/>
  <c r="K61" i="1"/>
  <c r="P61" i="1"/>
  <c r="Z18" i="1"/>
  <c r="Z24" i="1" s="1"/>
  <c r="AB18" i="1"/>
  <c r="AB9" i="1" s="1"/>
  <c r="I2" i="13"/>
  <c r="K3" i="13"/>
  <c r="L13" i="13"/>
  <c r="AC17" i="1"/>
  <c r="M36" i="1"/>
  <c r="M40" i="1"/>
  <c r="M12" i="1"/>
  <c r="M21" i="1"/>
  <c r="M32" i="1"/>
  <c r="M8" i="1"/>
  <c r="M10" i="1"/>
  <c r="M47" i="1"/>
  <c r="M13" i="1"/>
  <c r="M51" i="1"/>
  <c r="M44" i="1"/>
  <c r="M27" i="1"/>
  <c r="M18" i="1"/>
  <c r="M82" i="1"/>
  <c r="M39" i="1"/>
  <c r="M41" i="1"/>
  <c r="M38" i="1"/>
  <c r="M15" i="1"/>
  <c r="M49" i="1"/>
  <c r="M81" i="1"/>
  <c r="M24" i="1"/>
  <c r="M30" i="1"/>
  <c r="M11" i="1"/>
  <c r="M23" i="1"/>
  <c r="M45" i="1"/>
  <c r="M53" i="1"/>
  <c r="M19" i="1"/>
  <c r="M80" i="1"/>
  <c r="M17" i="1"/>
  <c r="M25" i="1"/>
  <c r="M37" i="1"/>
  <c r="M34" i="1"/>
  <c r="M48" i="1"/>
  <c r="M43" i="1"/>
  <c r="AC18" i="1" l="1"/>
  <c r="AB10" i="1"/>
  <c r="AC10" i="1" s="1"/>
  <c r="AC9" i="1"/>
  <c r="AA18" i="1"/>
  <c r="Z9" i="1"/>
  <c r="AA9" i="1" s="1"/>
  <c r="Z10" i="1"/>
  <c r="AA10" i="1" s="1"/>
  <c r="L16" i="13"/>
  <c r="L17" i="13"/>
  <c r="AH27" i="1" l="1"/>
  <c r="F17" i="68" l="1"/>
  <c r="L13" i="68"/>
  <c r="K3" i="68"/>
  <c r="I2" i="68"/>
  <c r="F14" i="67" l="1"/>
  <c r="L13" i="67"/>
  <c r="B20" i="67"/>
  <c r="K3" i="67"/>
  <c r="I2" i="67"/>
  <c r="F11" i="67" l="1"/>
  <c r="D8" i="13" l="1"/>
  <c r="D8" i="68"/>
  <c r="D8" i="67"/>
  <c r="Y17" i="1"/>
  <c r="AE12" i="1"/>
  <c r="AF12" i="1"/>
  <c r="AG12" i="1" s="1"/>
  <c r="AA17" i="1"/>
  <c r="X18" i="1"/>
  <c r="V18" i="1"/>
  <c r="V10" i="1" s="1"/>
  <c r="V9" i="1" s="1"/>
  <c r="X24" i="1" l="1"/>
  <c r="Y24" i="1" s="1"/>
  <c r="X10" i="1"/>
  <c r="Y10" i="1" s="1"/>
  <c r="AL12" i="1"/>
  <c r="AH10" i="1"/>
  <c r="Y18" i="1"/>
  <c r="X9" i="1"/>
  <c r="Y9" i="1" s="1"/>
  <c r="AB27" i="1"/>
  <c r="AC27" i="1" s="1"/>
  <c r="X27" i="1"/>
  <c r="Y27" i="1" s="1"/>
  <c r="Z27" i="1"/>
  <c r="AA27" i="1" s="1"/>
  <c r="AH9" i="1" l="1"/>
  <c r="J53" i="1"/>
  <c r="K53" i="1" s="1"/>
  <c r="J24" i="1"/>
  <c r="K24" i="1" s="1"/>
  <c r="J67" i="1"/>
  <c r="J59" i="1"/>
  <c r="J60" i="1"/>
  <c r="J39" i="1"/>
  <c r="K39" i="1" s="1"/>
  <c r="J49" i="1"/>
  <c r="K49" i="1" s="1"/>
  <c r="J17" i="1"/>
  <c r="K17" i="1" s="1"/>
  <c r="J10" i="1"/>
  <c r="J64" i="1"/>
  <c r="J56" i="1"/>
  <c r="J36" i="1"/>
  <c r="K36" i="1" s="1"/>
  <c r="J57" i="1"/>
  <c r="J13" i="1"/>
  <c r="J11" i="1"/>
  <c r="J12" i="1"/>
  <c r="J41" i="1"/>
  <c r="K41" i="1" s="1"/>
  <c r="J38" i="1"/>
  <c r="K38" i="1" s="1"/>
  <c r="J37" i="1"/>
  <c r="K37" i="1" s="1"/>
  <c r="J15" i="1"/>
  <c r="J47" i="1"/>
  <c r="K47" i="1" s="1"/>
  <c r="J74" i="1"/>
  <c r="J18" i="1"/>
  <c r="J27" i="1"/>
  <c r="K27" i="1" s="1"/>
  <c r="J72" i="1"/>
  <c r="J21" i="1"/>
  <c r="K21" i="1" s="1"/>
  <c r="J58" i="1"/>
  <c r="J71" i="1"/>
  <c r="J48" i="1"/>
  <c r="J34" i="1"/>
  <c r="J81" i="1"/>
  <c r="K81" i="1" s="1"/>
  <c r="J76" i="1"/>
  <c r="J82" i="1"/>
  <c r="K82" i="1" s="1"/>
  <c r="J45" i="1"/>
  <c r="K45" i="1" s="1"/>
  <c r="J43" i="1"/>
  <c r="K43" i="1" s="1"/>
  <c r="J44" i="1"/>
  <c r="J40" i="1"/>
  <c r="J19" i="1"/>
  <c r="K19" i="1" s="1"/>
  <c r="J32" i="1"/>
  <c r="K32" i="1" s="1"/>
  <c r="J51" i="1"/>
  <c r="J30" i="1"/>
  <c r="K30" i="1" s="1"/>
  <c r="J23" i="1"/>
  <c r="K23" i="1" s="1"/>
  <c r="J80" i="1"/>
  <c r="K80" i="1" s="1"/>
  <c r="J25" i="1"/>
  <c r="F47" i="1" l="1"/>
  <c r="D47" i="1"/>
  <c r="D74" i="1"/>
  <c r="E74" i="1" s="1"/>
  <c r="H74" i="1"/>
  <c r="I74" i="1" s="1"/>
  <c r="F74" i="1"/>
  <c r="G74" i="1" s="1"/>
  <c r="H47" i="1"/>
  <c r="D10" i="1"/>
  <c r="H10" i="1"/>
  <c r="I10" i="1" s="1"/>
  <c r="F10" i="1"/>
  <c r="D25" i="1"/>
  <c r="H25" i="1"/>
  <c r="F25" i="1"/>
  <c r="D76" i="1"/>
  <c r="E76" i="1" s="1"/>
  <c r="H76" i="1"/>
  <c r="F76" i="1"/>
  <c r="K76" i="1"/>
  <c r="D15" i="1"/>
  <c r="H15" i="1"/>
  <c r="F15" i="1"/>
  <c r="D8" i="1"/>
  <c r="F8" i="1"/>
  <c r="D64" i="1"/>
  <c r="E64" i="1" s="1"/>
  <c r="H64" i="1"/>
  <c r="I64" i="1" s="1"/>
  <c r="F64" i="1"/>
  <c r="G64" i="1" s="1"/>
  <c r="D80" i="1"/>
  <c r="H80" i="1"/>
  <c r="F80" i="1"/>
  <c r="D37" i="1"/>
  <c r="H37" i="1"/>
  <c r="F37" i="1"/>
  <c r="D17" i="1"/>
  <c r="E17" i="1" s="1"/>
  <c r="H17" i="1"/>
  <c r="I17" i="1" s="1"/>
  <c r="F17" i="1"/>
  <c r="G17" i="1" s="1"/>
  <c r="D45" i="1"/>
  <c r="H45" i="1"/>
  <c r="F45" i="1"/>
  <c r="D82" i="1"/>
  <c r="H82" i="1"/>
  <c r="F82" i="1"/>
  <c r="D81" i="1"/>
  <c r="H81" i="1"/>
  <c r="F81" i="1"/>
  <c r="D23" i="1"/>
  <c r="H23" i="1"/>
  <c r="F23" i="1"/>
  <c r="D34" i="1"/>
  <c r="H34" i="1"/>
  <c r="F34" i="1"/>
  <c r="D38" i="1"/>
  <c r="H38" i="1"/>
  <c r="F38" i="1"/>
  <c r="H49" i="1"/>
  <c r="F49" i="1"/>
  <c r="D49" i="1"/>
  <c r="D41" i="1"/>
  <c r="E41" i="1" s="1"/>
  <c r="H41" i="1"/>
  <c r="I41" i="1" s="1"/>
  <c r="F41" i="1"/>
  <c r="G41" i="1" s="1"/>
  <c r="D39" i="1"/>
  <c r="H39" i="1"/>
  <c r="F39" i="1"/>
  <c r="D51" i="1"/>
  <c r="H51" i="1"/>
  <c r="F51" i="1"/>
  <c r="D12" i="1"/>
  <c r="H12" i="1"/>
  <c r="F12" i="1"/>
  <c r="D60" i="1"/>
  <c r="E60" i="1" s="1"/>
  <c r="H60" i="1"/>
  <c r="I60" i="1" s="1"/>
  <c r="F60" i="1"/>
  <c r="G60" i="1" s="1"/>
  <c r="D58" i="1"/>
  <c r="E58" i="1" s="1"/>
  <c r="H58" i="1"/>
  <c r="I58" i="1" s="1"/>
  <c r="F58" i="1"/>
  <c r="G58" i="1" s="1"/>
  <c r="D11" i="1"/>
  <c r="H11" i="1"/>
  <c r="I11" i="1" s="1"/>
  <c r="F11" i="1"/>
  <c r="D59" i="1"/>
  <c r="E59" i="1" s="1"/>
  <c r="H59" i="1"/>
  <c r="I59" i="1" s="1"/>
  <c r="F59" i="1"/>
  <c r="G59" i="1" s="1"/>
  <c r="D48" i="1"/>
  <c r="H48" i="1"/>
  <c r="F48" i="1"/>
  <c r="D19" i="1"/>
  <c r="H19" i="1"/>
  <c r="F19" i="1"/>
  <c r="H13" i="1"/>
  <c r="I13" i="1" s="1"/>
  <c r="F13" i="1"/>
  <c r="D13" i="1"/>
  <c r="D67" i="1"/>
  <c r="E67" i="1" s="1"/>
  <c r="H67" i="1"/>
  <c r="I67" i="1" s="1"/>
  <c r="F67" i="1"/>
  <c r="G67" i="1" s="1"/>
  <c r="D71" i="1"/>
  <c r="E71" i="1" s="1"/>
  <c r="H71" i="1"/>
  <c r="I71" i="1" s="1"/>
  <c r="F71" i="1"/>
  <c r="G71" i="1" s="1"/>
  <c r="D21" i="1"/>
  <c r="H21" i="1"/>
  <c r="F21" i="1"/>
  <c r="K72" i="1"/>
  <c r="H72" i="1"/>
  <c r="I72" i="1" s="1"/>
  <c r="F72" i="1"/>
  <c r="G72" i="1" s="1"/>
  <c r="D72" i="1"/>
  <c r="E72" i="1" s="1"/>
  <c r="D57" i="1"/>
  <c r="H57" i="1"/>
  <c r="I57" i="1" s="1"/>
  <c r="F57" i="1"/>
  <c r="G57" i="1" s="1"/>
  <c r="D24" i="1"/>
  <c r="H24" i="1"/>
  <c r="F24" i="1"/>
  <c r="D30" i="1"/>
  <c r="H30" i="1"/>
  <c r="F30" i="1"/>
  <c r="D32" i="1"/>
  <c r="H32" i="1"/>
  <c r="F32" i="1"/>
  <c r="H40" i="1"/>
  <c r="F40" i="1"/>
  <c r="D40" i="1"/>
  <c r="D44" i="1"/>
  <c r="H44" i="1"/>
  <c r="F44" i="1"/>
  <c r="D27" i="1"/>
  <c r="H27" i="1"/>
  <c r="F27" i="1"/>
  <c r="D53" i="1"/>
  <c r="H53" i="1"/>
  <c r="F53" i="1"/>
  <c r="D43" i="1"/>
  <c r="H43" i="1"/>
  <c r="F43" i="1"/>
  <c r="D18" i="1"/>
  <c r="H18" i="1"/>
  <c r="F18" i="1"/>
  <c r="D56" i="1"/>
  <c r="E56" i="1" s="1"/>
  <c r="H56" i="1"/>
  <c r="I56" i="1" s="1"/>
  <c r="F56" i="1"/>
  <c r="G56" i="1" s="1"/>
  <c r="B20" i="13"/>
  <c r="D20" i="13"/>
  <c r="D23" i="13"/>
  <c r="B14" i="13"/>
  <c r="D14" i="13"/>
  <c r="D11" i="13"/>
  <c r="B23" i="13" s="1"/>
  <c r="B11" i="13"/>
  <c r="K58" i="1"/>
  <c r="K59" i="1"/>
  <c r="K71" i="1"/>
  <c r="K60" i="1"/>
  <c r="K67" i="1"/>
  <c r="H36" i="1"/>
  <c r="K18" i="1"/>
  <c r="K56" i="1"/>
  <c r="I15" i="1"/>
  <c r="I12" i="1"/>
  <c r="K74" i="1"/>
  <c r="K34" i="1"/>
  <c r="K64" i="1"/>
  <c r="N43" i="1"/>
  <c r="D11" i="68"/>
  <c r="D20" i="68"/>
  <c r="B11" i="68"/>
  <c r="L17" i="68"/>
  <c r="D14" i="68"/>
  <c r="B14" i="68"/>
  <c r="D17" i="67"/>
  <c r="B17" i="67"/>
  <c r="B8" i="67" s="1"/>
  <c r="F8" i="67" s="1"/>
  <c r="D20" i="67"/>
  <c r="F20" i="67" s="1"/>
  <c r="F36" i="1"/>
  <c r="D36" i="1"/>
  <c r="AE11" i="1"/>
  <c r="AF11" i="1"/>
  <c r="AG11" i="1" s="1"/>
  <c r="H17" i="67" l="1"/>
  <c r="B8" i="13"/>
  <c r="F8" i="13" s="1"/>
  <c r="F20" i="13"/>
  <c r="F11" i="13"/>
  <c r="F23" i="13"/>
  <c r="F14" i="13"/>
  <c r="F17" i="13"/>
  <c r="F14" i="68"/>
  <c r="B8" i="68"/>
  <c r="F8" i="68" s="1"/>
  <c r="B20" i="68"/>
  <c r="F20" i="68" s="1"/>
  <c r="F11" i="68"/>
  <c r="W11" i="1" l="1"/>
  <c r="W8" i="1"/>
  <c r="AA8" i="1" l="1"/>
  <c r="Y8" i="1"/>
  <c r="AC8" i="1"/>
  <c r="AA11" i="1"/>
  <c r="Y11" i="1"/>
  <c r="AC11" i="1"/>
  <c r="L19" i="68"/>
  <c r="AL11" i="1" l="1"/>
  <c r="L19" i="67"/>
  <c r="L17" i="67"/>
  <c r="V143" i="7" l="1"/>
  <c r="W143" i="7"/>
  <c r="X143" i="7"/>
  <c r="Y143" i="7"/>
  <c r="V141" i="7"/>
  <c r="V142" i="7"/>
  <c r="W141" i="7"/>
  <c r="W142" i="7"/>
  <c r="X141" i="7"/>
  <c r="X142" i="7"/>
  <c r="Y141" i="7"/>
  <c r="Y142" i="7"/>
  <c r="M21" i="2" l="1"/>
  <c r="M22" i="2"/>
  <c r="W34" i="2"/>
  <c r="V34" i="2"/>
  <c r="U34" i="2"/>
  <c r="W33" i="2"/>
  <c r="V33" i="2"/>
  <c r="U33" i="2"/>
  <c r="W32" i="2"/>
  <c r="V32" i="2"/>
  <c r="U32" i="2"/>
  <c r="W31" i="2"/>
  <c r="V31" i="2"/>
  <c r="U31" i="2"/>
  <c r="B28" i="64" l="1"/>
  <c r="F28" i="64" l="1"/>
  <c r="G28" i="64" s="1"/>
  <c r="D28" i="64"/>
  <c r="E28" i="64" s="1"/>
  <c r="W45" i="7"/>
  <c r="W54" i="7"/>
  <c r="W90" i="7"/>
  <c r="W91" i="7"/>
  <c r="W55" i="7"/>
  <c r="W79" i="7"/>
  <c r="W87" i="7"/>
  <c r="W136" i="7"/>
  <c r="W88" i="7"/>
  <c r="W86" i="7"/>
  <c r="W78" i="7"/>
  <c r="W113" i="7"/>
  <c r="W121" i="7"/>
  <c r="W39" i="7"/>
  <c r="W46" i="7"/>
  <c r="W4" i="7"/>
  <c r="W119" i="7"/>
  <c r="W118" i="7"/>
  <c r="W103" i="7"/>
  <c r="W108" i="7"/>
  <c r="W124" i="7"/>
  <c r="W32" i="7"/>
  <c r="W106" i="7"/>
  <c r="W110" i="7"/>
  <c r="W120" i="7"/>
  <c r="W131" i="7"/>
  <c r="W125" i="7"/>
  <c r="W123" i="7"/>
  <c r="W107" i="7"/>
  <c r="W33" i="7"/>
  <c r="W115" i="7"/>
  <c r="W135" i="7"/>
  <c r="W114" i="7"/>
  <c r="W130" i="7"/>
  <c r="W127" i="7"/>
  <c r="W128" i="7"/>
  <c r="W112" i="7"/>
  <c r="W58" i="7"/>
  <c r="W40" i="7"/>
  <c r="W53" i="7"/>
  <c r="W35" i="7"/>
  <c r="W36" i="7"/>
  <c r="W5" i="7"/>
  <c r="W47" i="7"/>
  <c r="W3" i="7"/>
  <c r="W50" i="7"/>
  <c r="W2" i="7"/>
  <c r="W89" i="7"/>
  <c r="W49" i="7"/>
  <c r="W61" i="7"/>
  <c r="W44" i="7"/>
  <c r="W11" i="7"/>
  <c r="W111" i="7"/>
  <c r="W98" i="7"/>
  <c r="W117" i="7"/>
  <c r="W129" i="7"/>
  <c r="W64" i="7"/>
  <c r="W85" i="7"/>
  <c r="W30" i="7"/>
  <c r="W69" i="7"/>
  <c r="W41" i="7"/>
  <c r="W28" i="7"/>
  <c r="W73" i="7"/>
  <c r="W29" i="7"/>
  <c r="W38" i="7"/>
  <c r="W37" i="7"/>
  <c r="W77" i="7"/>
  <c r="W43" i="7"/>
  <c r="W42" i="7"/>
  <c r="W60" i="7"/>
  <c r="W80" i="7"/>
  <c r="W122" i="7"/>
  <c r="W132" i="7"/>
  <c r="W133" i="7"/>
  <c r="W72" i="7"/>
  <c r="W75" i="7"/>
  <c r="W81" i="7"/>
  <c r="W59" i="7"/>
  <c r="W31" i="7"/>
  <c r="W116" i="7"/>
  <c r="W134" i="7"/>
  <c r="W126" i="7"/>
  <c r="W100" i="7"/>
  <c r="W109" i="7"/>
  <c r="W105" i="7"/>
  <c r="W102" i="7"/>
  <c r="W62" i="7"/>
  <c r="W70" i="7"/>
  <c r="W18" i="7"/>
  <c r="W20" i="7"/>
  <c r="W76" i="7"/>
  <c r="W19" i="7"/>
  <c r="W22" i="7"/>
  <c r="W83" i="7"/>
  <c r="W52" i="7"/>
  <c r="W26" i="7"/>
  <c r="W34" i="7"/>
  <c r="W67" i="7"/>
  <c r="W84" i="7"/>
  <c r="W68" i="7"/>
  <c r="W63" i="7"/>
  <c r="W9" i="7"/>
  <c r="W25" i="7"/>
  <c r="W10" i="7"/>
  <c r="W7" i="7"/>
  <c r="W14" i="7"/>
  <c r="W56" i="7"/>
  <c r="W57" i="7"/>
  <c r="W24" i="7"/>
  <c r="W17" i="7"/>
  <c r="W15" i="7"/>
  <c r="W6" i="7"/>
  <c r="W21" i="7"/>
  <c r="W8" i="7"/>
  <c r="W27" i="7"/>
  <c r="W12" i="7"/>
  <c r="W65" i="7"/>
  <c r="W66" i="7"/>
  <c r="W137" i="7"/>
  <c r="W71" i="7"/>
  <c r="W101" i="7"/>
  <c r="W104" i="7"/>
  <c r="W99" i="7"/>
  <c r="W93" i="7"/>
  <c r="W97" i="7"/>
  <c r="W96" i="7"/>
  <c r="W94" i="7"/>
  <c r="W95" i="7"/>
  <c r="W16" i="7"/>
  <c r="W74" i="7"/>
  <c r="W51" i="7"/>
  <c r="W48" i="7"/>
  <c r="W82" i="7"/>
  <c r="W23" i="7"/>
  <c r="W13" i="7"/>
  <c r="W92" i="7"/>
  <c r="W140" i="7"/>
  <c r="W139" i="7"/>
  <c r="W138" i="7"/>
  <c r="V138" i="7"/>
  <c r="V139" i="7"/>
  <c r="V140" i="7"/>
  <c r="V92" i="7"/>
  <c r="V13" i="7"/>
  <c r="V23" i="7"/>
  <c r="V82" i="7"/>
  <c r="V48" i="7"/>
  <c r="V51" i="7"/>
  <c r="V74" i="7"/>
  <c r="V16" i="7"/>
  <c r="V95" i="7"/>
  <c r="V94" i="7"/>
  <c r="V96" i="7"/>
  <c r="V97" i="7"/>
  <c r="V93" i="7"/>
  <c r="V99" i="7"/>
  <c r="V104" i="7"/>
  <c r="V101" i="7"/>
  <c r="V71" i="7"/>
  <c r="V137" i="7"/>
  <c r="V66" i="7"/>
  <c r="V65" i="7"/>
  <c r="V12" i="7"/>
  <c r="V27" i="7"/>
  <c r="V8" i="7"/>
  <c r="V21" i="7"/>
  <c r="V6" i="7"/>
  <c r="V15" i="7"/>
  <c r="V17" i="7"/>
  <c r="V24" i="7"/>
  <c r="V57" i="7"/>
  <c r="V56" i="7"/>
  <c r="V14" i="7"/>
  <c r="V7" i="7"/>
  <c r="D18" i="64" s="1"/>
  <c r="V10" i="7"/>
  <c r="V25" i="7"/>
  <c r="V9" i="7"/>
  <c r="V63" i="7"/>
  <c r="V68" i="7"/>
  <c r="V84" i="7"/>
  <c r="V67" i="7"/>
  <c r="V34" i="7"/>
  <c r="V26" i="7"/>
  <c r="V52" i="7"/>
  <c r="V83" i="7"/>
  <c r="V22" i="7"/>
  <c r="V19" i="7"/>
  <c r="V76" i="7"/>
  <c r="V20" i="7"/>
  <c r="V18" i="7"/>
  <c r="V70" i="7"/>
  <c r="V62" i="7"/>
  <c r="V102" i="7"/>
  <c r="V105" i="7"/>
  <c r="V109" i="7"/>
  <c r="V100" i="7"/>
  <c r="V126" i="7"/>
  <c r="V134" i="7"/>
  <c r="V116" i="7"/>
  <c r="V31" i="7"/>
  <c r="V59" i="7"/>
  <c r="V81" i="7"/>
  <c r="V75" i="7"/>
  <c r="V72" i="7"/>
  <c r="V133" i="7"/>
  <c r="V132" i="7"/>
  <c r="V122" i="7"/>
  <c r="V80" i="7"/>
  <c r="V60" i="7"/>
  <c r="V42" i="7"/>
  <c r="V43" i="7"/>
  <c r="V77" i="7"/>
  <c r="V37" i="7"/>
  <c r="V38" i="7"/>
  <c r="V29" i="7"/>
  <c r="V73" i="7"/>
  <c r="V28" i="7"/>
  <c r="V41" i="7"/>
  <c r="V69" i="7"/>
  <c r="V30" i="7"/>
  <c r="V85" i="7"/>
  <c r="V64" i="7"/>
  <c r="V129" i="7"/>
  <c r="V117" i="7"/>
  <c r="V98" i="7"/>
  <c r="V111" i="7"/>
  <c r="V11" i="7"/>
  <c r="V44" i="7"/>
  <c r="V61" i="7"/>
  <c r="V49" i="7"/>
  <c r="V89" i="7"/>
  <c r="V2" i="7"/>
  <c r="V50" i="7"/>
  <c r="V3" i="7"/>
  <c r="V47" i="7"/>
  <c r="V5" i="7"/>
  <c r="V36" i="7"/>
  <c r="V35" i="7"/>
  <c r="V53" i="7"/>
  <c r="V40" i="7"/>
  <c r="V58" i="7"/>
  <c r="V112" i="7"/>
  <c r="V128" i="7"/>
  <c r="V127" i="7"/>
  <c r="V130" i="7"/>
  <c r="V114" i="7"/>
  <c r="V135" i="7"/>
  <c r="V115" i="7"/>
  <c r="V33" i="7"/>
  <c r="V107" i="7"/>
  <c r="V123" i="7"/>
  <c r="V125" i="7"/>
  <c r="V131" i="7"/>
  <c r="V120" i="7"/>
  <c r="V110" i="7"/>
  <c r="V106" i="7"/>
  <c r="V32" i="7"/>
  <c r="V124" i="7"/>
  <c r="V108" i="7"/>
  <c r="V103" i="7"/>
  <c r="V118" i="7"/>
  <c r="V119" i="7"/>
  <c r="V4" i="7"/>
  <c r="V46" i="7"/>
  <c r="V39" i="7"/>
  <c r="V121" i="7"/>
  <c r="V113" i="7"/>
  <c r="V78" i="7"/>
  <c r="V86" i="7"/>
  <c r="V88" i="7"/>
  <c r="V136" i="7"/>
  <c r="V87" i="7"/>
  <c r="V79" i="7"/>
  <c r="V55" i="7"/>
  <c r="V91" i="7"/>
  <c r="V90" i="7"/>
  <c r="V54" i="7"/>
  <c r="V45" i="7"/>
  <c r="Y45" i="7"/>
  <c r="Y54" i="7"/>
  <c r="Y90" i="7"/>
  <c r="Y91" i="7"/>
  <c r="Y55" i="7"/>
  <c r="Y79" i="7"/>
  <c r="Y87" i="7"/>
  <c r="Y136" i="7"/>
  <c r="Y88" i="7"/>
  <c r="Y86" i="7"/>
  <c r="Y78" i="7"/>
  <c r="Y113" i="7"/>
  <c r="Y121" i="7"/>
  <c r="Y39" i="7"/>
  <c r="Y46" i="7"/>
  <c r="Y4" i="7"/>
  <c r="Y119" i="7"/>
  <c r="Y118" i="7"/>
  <c r="Y103" i="7"/>
  <c r="Y108" i="7"/>
  <c r="Y124" i="7"/>
  <c r="Y32" i="7"/>
  <c r="Y106" i="7"/>
  <c r="Y110" i="7"/>
  <c r="Y120" i="7"/>
  <c r="Y131" i="7"/>
  <c r="Y125" i="7"/>
  <c r="Y123" i="7"/>
  <c r="Y107" i="7"/>
  <c r="Y33" i="7"/>
  <c r="Y115" i="7"/>
  <c r="Y135" i="7"/>
  <c r="Y114" i="7"/>
  <c r="Y130" i="7"/>
  <c r="Y127" i="7"/>
  <c r="Y128" i="7"/>
  <c r="Y112" i="7"/>
  <c r="Y58" i="7"/>
  <c r="Y40" i="7"/>
  <c r="Y53" i="7"/>
  <c r="Y35" i="7"/>
  <c r="Y36" i="7"/>
  <c r="Y5" i="7"/>
  <c r="Y47" i="7"/>
  <c r="Y3" i="7"/>
  <c r="Y50" i="7"/>
  <c r="Y2" i="7"/>
  <c r="Y89" i="7"/>
  <c r="Y49" i="7"/>
  <c r="Y61" i="7"/>
  <c r="Y44" i="7"/>
  <c r="Y11" i="7"/>
  <c r="Y111" i="7"/>
  <c r="Y98" i="7"/>
  <c r="Y117" i="7"/>
  <c r="Y129" i="7"/>
  <c r="Y64" i="7"/>
  <c r="Y85" i="7"/>
  <c r="Y30" i="7"/>
  <c r="Y69" i="7"/>
  <c r="Y41" i="7"/>
  <c r="Y28" i="7"/>
  <c r="Y73" i="7"/>
  <c r="Y29" i="7"/>
  <c r="Y38" i="7"/>
  <c r="Y37" i="7"/>
  <c r="Y77" i="7"/>
  <c r="Y43" i="7"/>
  <c r="Y42" i="7"/>
  <c r="Y60" i="7"/>
  <c r="Y80" i="7"/>
  <c r="Y122" i="7"/>
  <c r="Y132" i="7"/>
  <c r="Y133" i="7"/>
  <c r="Y72" i="7"/>
  <c r="Y75" i="7"/>
  <c r="Y81" i="7"/>
  <c r="Y59" i="7"/>
  <c r="Y31" i="7"/>
  <c r="Y116" i="7"/>
  <c r="Y134" i="7"/>
  <c r="Y126" i="7"/>
  <c r="Y100" i="7"/>
  <c r="Y109" i="7"/>
  <c r="Y105" i="7"/>
  <c r="Y102" i="7"/>
  <c r="Y62" i="7"/>
  <c r="Y70" i="7"/>
  <c r="Y18" i="7"/>
  <c r="Y20" i="7"/>
  <c r="Y76" i="7"/>
  <c r="Y19" i="7"/>
  <c r="Y22" i="7"/>
  <c r="Y83" i="7"/>
  <c r="Y52" i="7"/>
  <c r="Y26" i="7"/>
  <c r="Y34" i="7"/>
  <c r="Y67" i="7"/>
  <c r="Y84" i="7"/>
  <c r="Y68" i="7"/>
  <c r="Y63" i="7"/>
  <c r="Y9" i="7"/>
  <c r="Y25" i="7"/>
  <c r="Y10" i="7"/>
  <c r="Y7" i="7"/>
  <c r="Y14" i="7"/>
  <c r="Y56" i="7"/>
  <c r="Y57" i="7"/>
  <c r="Y24" i="7"/>
  <c r="Y17" i="7"/>
  <c r="Y15" i="7"/>
  <c r="Y6" i="7"/>
  <c r="Y21" i="7"/>
  <c r="Y8" i="7"/>
  <c r="Y27" i="7"/>
  <c r="Y12" i="7"/>
  <c r="Y65" i="7"/>
  <c r="Y66" i="7"/>
  <c r="Y137" i="7"/>
  <c r="Y71" i="7"/>
  <c r="Y101" i="7"/>
  <c r="Y104" i="7"/>
  <c r="Y99" i="7"/>
  <c r="Y93" i="7"/>
  <c r="Y97" i="7"/>
  <c r="Y96" i="7"/>
  <c r="Y94" i="7"/>
  <c r="Y95" i="7"/>
  <c r="Y16" i="7"/>
  <c r="Y74" i="7"/>
  <c r="Y51" i="7"/>
  <c r="Y48" i="7"/>
  <c r="Y82" i="7"/>
  <c r="Y23" i="7"/>
  <c r="Y13" i="7"/>
  <c r="Y92" i="7"/>
  <c r="Y140" i="7"/>
  <c r="Y139" i="7"/>
  <c r="Y138" i="7"/>
  <c r="X45" i="7"/>
  <c r="X54" i="7"/>
  <c r="X90" i="7"/>
  <c r="X91" i="7"/>
  <c r="X55" i="7"/>
  <c r="X79" i="7"/>
  <c r="X87" i="7"/>
  <c r="X136" i="7"/>
  <c r="X88" i="7"/>
  <c r="X86" i="7"/>
  <c r="X78" i="7"/>
  <c r="X113" i="7"/>
  <c r="X121" i="7"/>
  <c r="X39" i="7"/>
  <c r="X46" i="7"/>
  <c r="X4" i="7"/>
  <c r="X119" i="7"/>
  <c r="X118" i="7"/>
  <c r="X103" i="7"/>
  <c r="X108" i="7"/>
  <c r="X124" i="7"/>
  <c r="X32" i="7"/>
  <c r="X106" i="7"/>
  <c r="X110" i="7"/>
  <c r="X120" i="7"/>
  <c r="X131" i="7"/>
  <c r="X125" i="7"/>
  <c r="X123" i="7"/>
  <c r="X107" i="7"/>
  <c r="X33" i="7"/>
  <c r="X115" i="7"/>
  <c r="X135" i="7"/>
  <c r="X114" i="7"/>
  <c r="X130" i="7"/>
  <c r="X127" i="7"/>
  <c r="X128" i="7"/>
  <c r="X112" i="7"/>
  <c r="X58" i="7"/>
  <c r="X40" i="7"/>
  <c r="X53" i="7"/>
  <c r="X35" i="7"/>
  <c r="X36" i="7"/>
  <c r="X5" i="7"/>
  <c r="X47" i="7"/>
  <c r="X3" i="7"/>
  <c r="X50" i="7"/>
  <c r="X2" i="7"/>
  <c r="X89" i="7"/>
  <c r="X49" i="7"/>
  <c r="X61" i="7"/>
  <c r="X44" i="7"/>
  <c r="X11" i="7"/>
  <c r="X111" i="7"/>
  <c r="X98" i="7"/>
  <c r="X117" i="7"/>
  <c r="X129" i="7"/>
  <c r="X64" i="7"/>
  <c r="X85" i="7"/>
  <c r="X30" i="7"/>
  <c r="X69" i="7"/>
  <c r="X41" i="7"/>
  <c r="X28" i="7"/>
  <c r="X73" i="7"/>
  <c r="X29" i="7"/>
  <c r="X38" i="7"/>
  <c r="X37" i="7"/>
  <c r="X77" i="7"/>
  <c r="X43" i="7"/>
  <c r="X42" i="7"/>
  <c r="X60" i="7"/>
  <c r="X80" i="7"/>
  <c r="X122" i="7"/>
  <c r="X132" i="7"/>
  <c r="X133" i="7"/>
  <c r="X72" i="7"/>
  <c r="X75" i="7"/>
  <c r="X81" i="7"/>
  <c r="X59" i="7"/>
  <c r="X31" i="7"/>
  <c r="X116" i="7"/>
  <c r="X134" i="7"/>
  <c r="X126" i="7"/>
  <c r="X100" i="7"/>
  <c r="X109" i="7"/>
  <c r="X105" i="7"/>
  <c r="X102" i="7"/>
  <c r="X62" i="7"/>
  <c r="X70" i="7"/>
  <c r="X18" i="7"/>
  <c r="X20" i="7"/>
  <c r="X76" i="7"/>
  <c r="X19" i="7"/>
  <c r="X22" i="7"/>
  <c r="X83" i="7"/>
  <c r="X52" i="7"/>
  <c r="X26" i="7"/>
  <c r="X34" i="7"/>
  <c r="X67" i="7"/>
  <c r="X84" i="7"/>
  <c r="X68" i="7"/>
  <c r="X63" i="7"/>
  <c r="X9" i="7"/>
  <c r="X25" i="7"/>
  <c r="X10" i="7"/>
  <c r="X7" i="7"/>
  <c r="F18" i="64" s="1"/>
  <c r="X14" i="7"/>
  <c r="X56" i="7"/>
  <c r="X57" i="7"/>
  <c r="X24" i="7"/>
  <c r="X17" i="7"/>
  <c r="X15" i="7"/>
  <c r="X6" i="7"/>
  <c r="X21" i="7"/>
  <c r="X8" i="7"/>
  <c r="X27" i="7"/>
  <c r="X12" i="7"/>
  <c r="X65" i="7"/>
  <c r="X66" i="7"/>
  <c r="X137" i="7"/>
  <c r="X71" i="7"/>
  <c r="X101" i="7"/>
  <c r="X104" i="7"/>
  <c r="X99" i="7"/>
  <c r="X93" i="7"/>
  <c r="X97" i="7"/>
  <c r="X96" i="7"/>
  <c r="X94" i="7"/>
  <c r="X95" i="7"/>
  <c r="X16" i="7"/>
  <c r="X74" i="7"/>
  <c r="X51" i="7"/>
  <c r="X48" i="7"/>
  <c r="X82" i="7"/>
  <c r="X23" i="7"/>
  <c r="X13" i="7"/>
  <c r="X92" i="7"/>
  <c r="X140" i="7"/>
  <c r="X139" i="7"/>
  <c r="X138" i="7"/>
  <c r="U18" i="64"/>
  <c r="U20" i="64"/>
  <c r="U33" i="64"/>
  <c r="T18" i="64"/>
  <c r="T20" i="64"/>
  <c r="T33" i="64"/>
  <c r="P37" i="64"/>
  <c r="L37" i="64"/>
  <c r="K37" i="64"/>
  <c r="J37" i="64"/>
  <c r="H37" i="64"/>
  <c r="I37" i="64" s="1"/>
  <c r="P36" i="64"/>
  <c r="L36" i="64"/>
  <c r="K36" i="64"/>
  <c r="J36" i="64"/>
  <c r="H36" i="64"/>
  <c r="I36" i="64" s="1"/>
  <c r="P35" i="64"/>
  <c r="L35" i="64"/>
  <c r="K35" i="64"/>
  <c r="J35" i="64"/>
  <c r="H35" i="64"/>
  <c r="I35" i="64" s="1"/>
  <c r="P34" i="64"/>
  <c r="L34" i="64"/>
  <c r="K34" i="64"/>
  <c r="J34" i="64"/>
  <c r="H34" i="64"/>
  <c r="I34" i="64" s="1"/>
  <c r="P33" i="64"/>
  <c r="L33" i="64"/>
  <c r="K33" i="64"/>
  <c r="J33" i="64"/>
  <c r="H33" i="64"/>
  <c r="I33" i="64" s="1"/>
  <c r="P32" i="64"/>
  <c r="L32" i="64"/>
  <c r="K32" i="64"/>
  <c r="J32" i="64"/>
  <c r="H32" i="64"/>
  <c r="I32" i="64" s="1"/>
  <c r="P31" i="64"/>
  <c r="L31" i="64"/>
  <c r="K31" i="64"/>
  <c r="J31" i="64"/>
  <c r="H31" i="64"/>
  <c r="I31" i="64" s="1"/>
  <c r="P30" i="64"/>
  <c r="L30" i="64"/>
  <c r="K30" i="64"/>
  <c r="J30" i="64"/>
  <c r="H30" i="64"/>
  <c r="I30" i="64" s="1"/>
  <c r="P29" i="64"/>
  <c r="L29" i="64"/>
  <c r="K29" i="64"/>
  <c r="J29" i="64"/>
  <c r="H29" i="64"/>
  <c r="I29" i="64" s="1"/>
  <c r="P28" i="64"/>
  <c r="N28" i="64"/>
  <c r="L28" i="64"/>
  <c r="K28" i="64"/>
  <c r="J28" i="64"/>
  <c r="H28" i="64"/>
  <c r="I28" i="64" s="1"/>
  <c r="C28" i="64"/>
  <c r="P27" i="64"/>
  <c r="L27" i="64"/>
  <c r="K27" i="64"/>
  <c r="J27" i="64"/>
  <c r="H27" i="64"/>
  <c r="I27" i="64" s="1"/>
  <c r="P26" i="64"/>
  <c r="L26" i="64"/>
  <c r="K26" i="64"/>
  <c r="J26" i="64"/>
  <c r="H26" i="64"/>
  <c r="I26" i="64" s="1"/>
  <c r="P25" i="64"/>
  <c r="L25" i="64"/>
  <c r="K25" i="64"/>
  <c r="J25" i="64"/>
  <c r="H25" i="64"/>
  <c r="I25" i="64" s="1"/>
  <c r="P24" i="64"/>
  <c r="L24" i="64"/>
  <c r="K24" i="64"/>
  <c r="J24" i="64"/>
  <c r="H24" i="64"/>
  <c r="I24" i="64" s="1"/>
  <c r="AK23" i="64"/>
  <c r="P23" i="64"/>
  <c r="L23" i="64"/>
  <c r="K23" i="64"/>
  <c r="J23" i="64"/>
  <c r="H23" i="64"/>
  <c r="I23" i="64" s="1"/>
  <c r="AK22" i="64"/>
  <c r="P22" i="64"/>
  <c r="L22" i="64"/>
  <c r="K22" i="64"/>
  <c r="J22" i="64"/>
  <c r="H22" i="64"/>
  <c r="I22" i="64" s="1"/>
  <c r="P21" i="64"/>
  <c r="L21" i="64"/>
  <c r="K21" i="64"/>
  <c r="J21" i="64"/>
  <c r="H21" i="64"/>
  <c r="I21" i="64" s="1"/>
  <c r="P20" i="64"/>
  <c r="L20" i="64"/>
  <c r="K20" i="64"/>
  <c r="J20" i="64"/>
  <c r="H20" i="64"/>
  <c r="I20" i="64" s="1"/>
  <c r="P19" i="64"/>
  <c r="L19" i="64"/>
  <c r="K19" i="64"/>
  <c r="J19" i="64"/>
  <c r="H19" i="64"/>
  <c r="I19" i="64" s="1"/>
  <c r="P18" i="64"/>
  <c r="L18" i="64"/>
  <c r="K18" i="64"/>
  <c r="J18" i="64"/>
  <c r="H18" i="64"/>
  <c r="I18" i="64" s="1"/>
  <c r="AK17" i="64"/>
  <c r="AJ17" i="64"/>
  <c r="AI17" i="64"/>
  <c r="AH17" i="64"/>
  <c r="AG17" i="64"/>
  <c r="P17" i="64"/>
  <c r="L17" i="64"/>
  <c r="K17" i="64"/>
  <c r="J17" i="64"/>
  <c r="H17" i="64"/>
  <c r="I17" i="64" s="1"/>
  <c r="AK16" i="64"/>
  <c r="AJ16" i="64"/>
  <c r="AI16" i="64"/>
  <c r="AH16" i="64"/>
  <c r="AG16" i="64"/>
  <c r="P16" i="64"/>
  <c r="L16" i="64"/>
  <c r="K16" i="64"/>
  <c r="J16" i="64"/>
  <c r="H16" i="64"/>
  <c r="I16" i="64" s="1"/>
  <c r="P15" i="64"/>
  <c r="L15" i="64"/>
  <c r="K15" i="64"/>
  <c r="J15" i="64"/>
  <c r="H15" i="64"/>
  <c r="I15" i="64" s="1"/>
  <c r="P14" i="64"/>
  <c r="L14" i="64"/>
  <c r="K14" i="64"/>
  <c r="J14" i="64"/>
  <c r="H14" i="64"/>
  <c r="I14" i="64" s="1"/>
  <c r="P13" i="64"/>
  <c r="L13" i="64"/>
  <c r="K13" i="64"/>
  <c r="J13" i="64"/>
  <c r="H13" i="64"/>
  <c r="I13" i="64" s="1"/>
  <c r="P12" i="64"/>
  <c r="L12" i="64"/>
  <c r="K12" i="64"/>
  <c r="J12" i="64"/>
  <c r="H12" i="64"/>
  <c r="I12" i="64" s="1"/>
  <c r="AK11" i="64"/>
  <c r="AI11" i="64"/>
  <c r="AJ11" i="64" s="1"/>
  <c r="AG11" i="64"/>
  <c r="P11" i="64"/>
  <c r="L11" i="64"/>
  <c r="K11" i="64"/>
  <c r="J11" i="64"/>
  <c r="H11" i="64"/>
  <c r="I11" i="64" s="1"/>
  <c r="AM10" i="64"/>
  <c r="AN10" i="64" s="1"/>
  <c r="AI10" i="64"/>
  <c r="AJ10" i="64" s="1"/>
  <c r="AG10" i="64"/>
  <c r="AE10" i="64"/>
  <c r="AF10" i="64" s="1"/>
  <c r="AC10" i="64"/>
  <c r="AA10" i="64"/>
  <c r="Y10" i="64"/>
  <c r="AK10" i="64" s="1"/>
  <c r="P10" i="64"/>
  <c r="L10" i="64"/>
  <c r="K10" i="64"/>
  <c r="J10" i="64"/>
  <c r="H10" i="64"/>
  <c r="I10" i="64" s="1"/>
  <c r="AM9" i="64"/>
  <c r="AN9" i="64" s="1"/>
  <c r="AJ9" i="64"/>
  <c r="AI9" i="64"/>
  <c r="AI8" i="64" s="1"/>
  <c r="AJ8" i="64" s="1"/>
  <c r="AG9" i="64"/>
  <c r="AE9" i="64"/>
  <c r="AF9" i="64" s="1"/>
  <c r="AC9" i="64"/>
  <c r="AA9" i="64"/>
  <c r="Y9" i="64"/>
  <c r="Z9" i="64" s="1"/>
  <c r="P9" i="64"/>
  <c r="L9" i="64"/>
  <c r="K9" i="64"/>
  <c r="J9" i="64"/>
  <c r="H9" i="64"/>
  <c r="I9" i="64" s="1"/>
  <c r="AM8" i="64"/>
  <c r="AN8" i="64" s="1"/>
  <c r="AG8" i="64"/>
  <c r="AE8" i="64"/>
  <c r="AF8" i="64" s="1"/>
  <c r="AC8" i="64"/>
  <c r="AA8" i="64"/>
  <c r="Y8" i="64"/>
  <c r="AK8" i="64" s="1"/>
  <c r="P8" i="64"/>
  <c r="L8" i="64"/>
  <c r="K8" i="64"/>
  <c r="K6" i="64" s="1"/>
  <c r="J8" i="64"/>
  <c r="H8" i="64"/>
  <c r="I8" i="64" s="1"/>
  <c r="AL6" i="64"/>
  <c r="AH6" i="64"/>
  <c r="M6" i="64"/>
  <c r="AE17" i="64"/>
  <c r="AC17" i="64"/>
  <c r="AM17" i="64"/>
  <c r="Y16" i="64"/>
  <c r="AA17" i="64"/>
  <c r="AE16" i="64"/>
  <c r="AC16" i="64"/>
  <c r="AM16" i="64"/>
  <c r="Y17" i="64"/>
  <c r="AA16" i="64"/>
  <c r="B18" i="64" l="1"/>
  <c r="N18" i="64" s="1"/>
  <c r="D20" i="64"/>
  <c r="F20" i="64"/>
  <c r="B20" i="64"/>
  <c r="C20" i="64" s="1"/>
  <c r="D30" i="64"/>
  <c r="O20" i="64"/>
  <c r="O33" i="64"/>
  <c r="AD9" i="64"/>
  <c r="D19" i="64"/>
  <c r="Q28" i="64"/>
  <c r="F35" i="64"/>
  <c r="D31" i="64"/>
  <c r="D8" i="64"/>
  <c r="D32" i="64"/>
  <c r="AB9" i="64"/>
  <c r="F32" i="64"/>
  <c r="AK9" i="64"/>
  <c r="AK6" i="64" s="1"/>
  <c r="Z10" i="64"/>
  <c r="AD10" i="64" s="1"/>
  <c r="Z8" i="64"/>
  <c r="AB8" i="64" s="1"/>
  <c r="D26" i="64"/>
  <c r="F25" i="64"/>
  <c r="F13" i="64"/>
  <c r="F12" i="64"/>
  <c r="F26" i="64"/>
  <c r="Q18" i="64"/>
  <c r="F23" i="64"/>
  <c r="D12" i="64"/>
  <c r="D27" i="64"/>
  <c r="B29" i="64"/>
  <c r="B15" i="64"/>
  <c r="C15" i="64" s="1"/>
  <c r="B36" i="64"/>
  <c r="F14" i="64"/>
  <c r="B17" i="64"/>
  <c r="B22" i="64"/>
  <c r="C22" i="64" s="1"/>
  <c r="B8" i="64"/>
  <c r="B16" i="64"/>
  <c r="N16" i="64" s="1"/>
  <c r="B37" i="64"/>
  <c r="F36" i="64"/>
  <c r="F24" i="64"/>
  <c r="B32" i="64"/>
  <c r="B19" i="64"/>
  <c r="B14" i="64"/>
  <c r="N14" i="64" s="1"/>
  <c r="D29" i="64"/>
  <c r="D17" i="64"/>
  <c r="F11" i="64"/>
  <c r="B11" i="64"/>
  <c r="D16" i="64"/>
  <c r="F34" i="64"/>
  <c r="F22" i="64"/>
  <c r="F10" i="64"/>
  <c r="B23" i="64"/>
  <c r="B25" i="64"/>
  <c r="D15" i="64"/>
  <c r="F33" i="64"/>
  <c r="F21" i="64"/>
  <c r="F9" i="64"/>
  <c r="B10" i="64"/>
  <c r="B13" i="64"/>
  <c r="B34" i="64"/>
  <c r="D14" i="64"/>
  <c r="F8" i="64"/>
  <c r="B31" i="64"/>
  <c r="B35" i="64"/>
  <c r="B21" i="64"/>
  <c r="D37" i="64"/>
  <c r="D25" i="64"/>
  <c r="D13" i="64"/>
  <c r="F31" i="64"/>
  <c r="F19" i="64"/>
  <c r="F37" i="64"/>
  <c r="B26" i="64"/>
  <c r="Q26" i="64" s="1"/>
  <c r="D36" i="64"/>
  <c r="Q36" i="64" s="1"/>
  <c r="D24" i="64"/>
  <c r="F30" i="64"/>
  <c r="D35" i="64"/>
  <c r="D23" i="64"/>
  <c r="D11" i="64"/>
  <c r="F29" i="64"/>
  <c r="F17" i="64"/>
  <c r="B33" i="64"/>
  <c r="B12" i="64"/>
  <c r="Q12" i="64" s="1"/>
  <c r="B24" i="64"/>
  <c r="B9" i="64"/>
  <c r="B27" i="64"/>
  <c r="D34" i="64"/>
  <c r="D22" i="64"/>
  <c r="D10" i="64"/>
  <c r="F16" i="64"/>
  <c r="B30" i="64"/>
  <c r="D33" i="64"/>
  <c r="D21" i="64"/>
  <c r="D9" i="64"/>
  <c r="F27" i="64"/>
  <c r="F15" i="64"/>
  <c r="O18" i="64"/>
  <c r="AM11" i="64"/>
  <c r="AN11" i="64" s="1"/>
  <c r="AM23" i="64"/>
  <c r="AN23" i="64" s="1"/>
  <c r="AM22" i="64"/>
  <c r="AN22" i="64" s="1"/>
  <c r="AN17" i="64"/>
  <c r="AA22" i="64"/>
  <c r="AB22" i="64" s="1"/>
  <c r="AB17" i="64"/>
  <c r="AA23" i="64"/>
  <c r="AB23" i="64" s="1"/>
  <c r="AA11" i="64"/>
  <c r="AB11" i="64" s="1"/>
  <c r="AN16" i="64"/>
  <c r="AD17" i="64"/>
  <c r="AC23" i="64"/>
  <c r="AD23" i="64" s="1"/>
  <c r="AC11" i="64"/>
  <c r="AD11" i="64" s="1"/>
  <c r="AC22" i="64"/>
  <c r="AD22" i="64" s="1"/>
  <c r="AB16" i="64"/>
  <c r="AF17" i="64"/>
  <c r="AE23" i="64"/>
  <c r="AF23" i="64" s="1"/>
  <c r="AE11" i="64"/>
  <c r="AF11" i="64" s="1"/>
  <c r="AF6" i="64" s="1"/>
  <c r="AE22" i="64"/>
  <c r="AF22" i="64" s="1"/>
  <c r="AD16" i="64"/>
  <c r="AF16" i="64"/>
  <c r="I6" i="64"/>
  <c r="N20" i="64"/>
  <c r="C18" i="64"/>
  <c r="E18" i="64" s="1"/>
  <c r="AO9" i="64" l="1"/>
  <c r="G18" i="64"/>
  <c r="Q20" i="64"/>
  <c r="G20" i="64"/>
  <c r="E20" i="64"/>
  <c r="Q19" i="64"/>
  <c r="Q30" i="64"/>
  <c r="Q8" i="64"/>
  <c r="Q32" i="64"/>
  <c r="Q11" i="64"/>
  <c r="AB10" i="64"/>
  <c r="AO10" i="64" s="1"/>
  <c r="AD8" i="64"/>
  <c r="AO8" i="64" s="1"/>
  <c r="Q35" i="64"/>
  <c r="Q31" i="64"/>
  <c r="Q17" i="64"/>
  <c r="Q27" i="64"/>
  <c r="Q23" i="64"/>
  <c r="N22" i="64"/>
  <c r="Q29" i="64"/>
  <c r="Q13" i="64"/>
  <c r="Q37" i="64"/>
  <c r="Q22" i="64"/>
  <c r="Q34" i="64"/>
  <c r="Q10" i="64"/>
  <c r="Q33" i="64"/>
  <c r="AO11" i="64"/>
  <c r="Q25" i="64"/>
  <c r="Q9" i="64"/>
  <c r="Q24" i="64"/>
  <c r="C16" i="64"/>
  <c r="Q16" i="64"/>
  <c r="N30" i="64"/>
  <c r="C30" i="64"/>
  <c r="C24" i="64"/>
  <c r="N24" i="64"/>
  <c r="C26" i="64"/>
  <c r="N26" i="64"/>
  <c r="N11" i="64"/>
  <c r="C11" i="64"/>
  <c r="N36" i="64"/>
  <c r="C36" i="64"/>
  <c r="C12" i="64"/>
  <c r="N12" i="64"/>
  <c r="C21" i="64"/>
  <c r="N21" i="64"/>
  <c r="N25" i="64"/>
  <c r="C25" i="64"/>
  <c r="N9" i="64"/>
  <c r="C9" i="64"/>
  <c r="C34" i="64"/>
  <c r="N34" i="64"/>
  <c r="N19" i="64"/>
  <c r="C19" i="64"/>
  <c r="Q15" i="64"/>
  <c r="N15" i="64"/>
  <c r="C35" i="64"/>
  <c r="N35" i="64"/>
  <c r="C13" i="64"/>
  <c r="N13" i="64"/>
  <c r="C8" i="64"/>
  <c r="N8" i="64"/>
  <c r="C23" i="64"/>
  <c r="N23" i="64"/>
  <c r="C32" i="64"/>
  <c r="N32" i="64"/>
  <c r="N33" i="64"/>
  <c r="C33" i="64"/>
  <c r="Q21" i="64"/>
  <c r="C37" i="64"/>
  <c r="N37" i="64"/>
  <c r="C14" i="64"/>
  <c r="Q14" i="64"/>
  <c r="C31" i="64"/>
  <c r="N31" i="64"/>
  <c r="C29" i="64"/>
  <c r="N29" i="64"/>
  <c r="N10" i="64"/>
  <c r="C10" i="64"/>
  <c r="N27" i="64"/>
  <c r="C27" i="64"/>
  <c r="C17" i="64"/>
  <c r="N17" i="64"/>
  <c r="AO16" i="64"/>
  <c r="AO17" i="64"/>
  <c r="AO22" i="64"/>
  <c r="AO23" i="64"/>
  <c r="R20" i="64" l="1"/>
  <c r="AB6" i="64"/>
  <c r="AD6" i="64"/>
  <c r="AO6" i="64"/>
  <c r="AN6" i="64"/>
  <c r="N6" i="64"/>
  <c r="Q6" i="64"/>
  <c r="T37" i="64" l="1"/>
  <c r="T17" i="64"/>
  <c r="T27" i="64"/>
  <c r="U37" i="64"/>
  <c r="U17" i="64"/>
  <c r="U27" i="64"/>
  <c r="T19" i="64"/>
  <c r="U19" i="64"/>
  <c r="T14" i="64"/>
  <c r="U14" i="64"/>
  <c r="T13" i="64"/>
  <c r="T8" i="64"/>
  <c r="T36" i="64"/>
  <c r="T15" i="64"/>
  <c r="U10" i="64"/>
  <c r="T26" i="64"/>
  <c r="T35" i="64"/>
  <c r="T21" i="64"/>
  <c r="T30" i="64"/>
  <c r="U36" i="64"/>
  <c r="U15" i="64"/>
  <c r="T24" i="64"/>
  <c r="T31" i="64"/>
  <c r="T22" i="64"/>
  <c r="U16" i="64"/>
  <c r="U26" i="64"/>
  <c r="T29" i="64"/>
  <c r="T25" i="64"/>
  <c r="T16" i="64"/>
  <c r="U11" i="64"/>
  <c r="U8" i="64"/>
  <c r="U12" i="64"/>
  <c r="U28" i="64"/>
  <c r="U35" i="64"/>
  <c r="T23" i="64"/>
  <c r="U9" i="64"/>
  <c r="U32" i="64"/>
  <c r="U21" i="64"/>
  <c r="U30" i="64"/>
  <c r="U24" i="64"/>
  <c r="U31" i="64"/>
  <c r="U22" i="64"/>
  <c r="T9" i="64"/>
  <c r="U34" i="64"/>
  <c r="T12" i="64"/>
  <c r="T28" i="64"/>
  <c r="U13" i="64"/>
  <c r="T34" i="64"/>
  <c r="U29" i="64"/>
  <c r="U25" i="64"/>
  <c r="T10" i="64"/>
  <c r="U23" i="64"/>
  <c r="T32" i="64"/>
  <c r="T11" i="64"/>
  <c r="O11" i="64" l="1"/>
  <c r="O10" i="64"/>
  <c r="O19" i="64"/>
  <c r="O27" i="64"/>
  <c r="O35" i="64"/>
  <c r="O37" i="64"/>
  <c r="O17" i="64"/>
  <c r="O12" i="64"/>
  <c r="O16" i="64"/>
  <c r="O34" i="64"/>
  <c r="O8" i="64"/>
  <c r="O29" i="64"/>
  <c r="O14" i="64"/>
  <c r="O22" i="64"/>
  <c r="O28" i="64"/>
  <c r="R28" i="64" s="1"/>
  <c r="O25" i="64"/>
  <c r="O24" i="64"/>
  <c r="O26" i="64"/>
  <c r="O21" i="64"/>
  <c r="O15" i="64"/>
  <c r="O9" i="64"/>
  <c r="O32" i="64"/>
  <c r="O30" i="64"/>
  <c r="O36" i="64"/>
  <c r="O23" i="64"/>
  <c r="O31" i="64"/>
  <c r="O13" i="64"/>
  <c r="AB24" i="1"/>
  <c r="AC24" i="1" s="1"/>
  <c r="G133" i="61"/>
  <c r="F133" i="61"/>
  <c r="E133" i="61"/>
  <c r="G112" i="61"/>
  <c r="F112" i="61"/>
  <c r="U25" i="61" s="1"/>
  <c r="E112" i="61"/>
  <c r="I112" i="61" s="1"/>
  <c r="L112" i="61" s="1"/>
  <c r="I111" i="61"/>
  <c r="L111" i="61" s="1"/>
  <c r="L110" i="61"/>
  <c r="I109" i="61"/>
  <c r="L109" i="61" s="1"/>
  <c r="L108" i="61"/>
  <c r="I107" i="61"/>
  <c r="L107" i="61" s="1"/>
  <c r="I106" i="61"/>
  <c r="L106" i="61" s="1"/>
  <c r="I105" i="61"/>
  <c r="L105" i="61" s="1"/>
  <c r="I104" i="61"/>
  <c r="L104" i="61" s="1"/>
  <c r="I103" i="61"/>
  <c r="L103" i="61" s="1"/>
  <c r="I102" i="61"/>
  <c r="L102" i="61" s="1"/>
  <c r="I101" i="61"/>
  <c r="L101" i="61" s="1"/>
  <c r="O83" i="61"/>
  <c r="N83" i="61"/>
  <c r="M83" i="61"/>
  <c r="G83" i="61"/>
  <c r="F83" i="61"/>
  <c r="G68" i="61" s="1"/>
  <c r="E83" i="61"/>
  <c r="O54" i="61"/>
  <c r="N54" i="61"/>
  <c r="G54" i="61"/>
  <c r="F54" i="61"/>
  <c r="E54" i="61"/>
  <c r="M47" i="61"/>
  <c r="M46" i="61"/>
  <c r="M45" i="61"/>
  <c r="M44" i="61"/>
  <c r="V37" i="61"/>
  <c r="W37" i="61" s="1"/>
  <c r="W36" i="61" s="1"/>
  <c r="O29" i="61"/>
  <c r="N29" i="61"/>
  <c r="G29" i="61"/>
  <c r="F29" i="61"/>
  <c r="E14" i="61" s="1"/>
  <c r="E29" i="61"/>
  <c r="U22" i="61"/>
  <c r="M22" i="61"/>
  <c r="M21" i="61"/>
  <c r="M20" i="61"/>
  <c r="M19" i="61"/>
  <c r="AT13" i="61"/>
  <c r="AS13" i="61"/>
  <c r="AR13" i="61"/>
  <c r="AL13" i="61"/>
  <c r="AK13" i="61"/>
  <c r="AJ13" i="61"/>
  <c r="F10" i="61"/>
  <c r="G9" i="61"/>
  <c r="AP7" i="61"/>
  <c r="W7" i="61"/>
  <c r="V7" i="61"/>
  <c r="U7" i="61"/>
  <c r="W6" i="61"/>
  <c r="V6" i="61"/>
  <c r="U6" i="61"/>
  <c r="W5" i="61"/>
  <c r="V5" i="61"/>
  <c r="U5" i="61"/>
  <c r="E5" i="61"/>
  <c r="W4" i="61"/>
  <c r="V4" i="61"/>
  <c r="U4" i="61"/>
  <c r="I114" i="2"/>
  <c r="L114" i="2" s="1"/>
  <c r="E115" i="2"/>
  <c r="I115" i="2" s="1"/>
  <c r="L115" i="2" s="1"/>
  <c r="F115" i="2"/>
  <c r="G115" i="2"/>
  <c r="D20" i="60"/>
  <c r="B20" i="60"/>
  <c r="L19" i="60"/>
  <c r="L17" i="60"/>
  <c r="D17" i="60"/>
  <c r="B17" i="60"/>
  <c r="D14" i="60"/>
  <c r="B14" i="60"/>
  <c r="L13" i="60"/>
  <c r="D11" i="60"/>
  <c r="B11" i="60"/>
  <c r="K3" i="60"/>
  <c r="I2" i="60"/>
  <c r="O6" i="64" l="1"/>
  <c r="F20" i="60"/>
  <c r="F17" i="60"/>
  <c r="D8" i="60"/>
  <c r="B8" i="60"/>
  <c r="G10" i="61"/>
  <c r="U24" i="61"/>
  <c r="E7" i="61"/>
  <c r="E66" i="61"/>
  <c r="M54" i="61"/>
  <c r="F66" i="61"/>
  <c r="G7" i="61"/>
  <c r="G5" i="61"/>
  <c r="F8" i="61"/>
  <c r="G8" i="61"/>
  <c r="F14" i="61"/>
  <c r="G6" i="61"/>
  <c r="E9" i="61"/>
  <c r="E60" i="61"/>
  <c r="M29" i="61"/>
  <c r="F9" i="61"/>
  <c r="F60" i="61"/>
  <c r="E12" i="61"/>
  <c r="F62" i="61"/>
  <c r="F12" i="61"/>
  <c r="G62" i="61"/>
  <c r="E62" i="61"/>
  <c r="E6" i="61"/>
  <c r="G12" i="61"/>
  <c r="G15" i="61" s="1"/>
  <c r="E59" i="61"/>
  <c r="E63" i="61"/>
  <c r="G61" i="61"/>
  <c r="U21" i="61"/>
  <c r="F6" i="61"/>
  <c r="E8" i="61"/>
  <c r="F59" i="61"/>
  <c r="F63" i="61"/>
  <c r="G59" i="61"/>
  <c r="G63" i="61"/>
  <c r="G60" i="61"/>
  <c r="G66" i="61"/>
  <c r="E61" i="61"/>
  <c r="E68" i="61"/>
  <c r="F5" i="61"/>
  <c r="F7" i="61"/>
  <c r="E10" i="61"/>
  <c r="F61" i="61"/>
  <c r="F68" i="61"/>
  <c r="F11" i="60"/>
  <c r="F14" i="60"/>
  <c r="F8" i="60" l="1"/>
  <c r="F15" i="61"/>
  <c r="E15" i="61"/>
  <c r="G69" i="61"/>
  <c r="E69" i="61"/>
  <c r="F69" i="61"/>
  <c r="AH24" i="1"/>
  <c r="AH18" i="1"/>
  <c r="AG18" i="1"/>
  <c r="AF18" i="1"/>
  <c r="AE18" i="1"/>
  <c r="AD18" i="1"/>
  <c r="B20" i="9"/>
  <c r="AA24" i="1" l="1"/>
  <c r="D20" i="41" l="1"/>
  <c r="B20" i="41"/>
  <c r="L19" i="41"/>
  <c r="L17" i="41"/>
  <c r="D17" i="41"/>
  <c r="B17" i="41"/>
  <c r="D14" i="41"/>
  <c r="B14" i="41"/>
  <c r="L13" i="41"/>
  <c r="D11" i="41"/>
  <c r="B11" i="41"/>
  <c r="K3" i="41"/>
  <c r="I2" i="41"/>
  <c r="D20" i="52"/>
  <c r="B20" i="52"/>
  <c r="L19" i="52"/>
  <c r="L17" i="52"/>
  <c r="D17" i="52"/>
  <c r="B17" i="52"/>
  <c r="D14" i="52"/>
  <c r="B14" i="52"/>
  <c r="L13" i="52"/>
  <c r="D11" i="52"/>
  <c r="B11" i="52"/>
  <c r="K3" i="52"/>
  <c r="I2" i="52"/>
  <c r="D20" i="39"/>
  <c r="B20" i="39"/>
  <c r="L19" i="39"/>
  <c r="L17" i="39"/>
  <c r="D17" i="39"/>
  <c r="B17" i="39"/>
  <c r="D14" i="39"/>
  <c r="B14" i="39"/>
  <c r="L13" i="39"/>
  <c r="D11" i="39"/>
  <c r="B11" i="39"/>
  <c r="K3" i="39"/>
  <c r="I2" i="39"/>
  <c r="D20" i="37"/>
  <c r="B20" i="37"/>
  <c r="L19" i="37"/>
  <c r="L17" i="37"/>
  <c r="D17" i="37"/>
  <c r="B17" i="37"/>
  <c r="D14" i="37"/>
  <c r="B14" i="37"/>
  <c r="L13" i="37"/>
  <c r="D11" i="37"/>
  <c r="B11" i="37"/>
  <c r="K3" i="37"/>
  <c r="I2" i="37"/>
  <c r="D20" i="36"/>
  <c r="B20" i="36"/>
  <c r="L19" i="36"/>
  <c r="L17" i="36"/>
  <c r="D17" i="36"/>
  <c r="B17" i="36"/>
  <c r="D14" i="36"/>
  <c r="B14" i="36"/>
  <c r="L13" i="36"/>
  <c r="D11" i="36"/>
  <c r="B11" i="36"/>
  <c r="K3" i="36"/>
  <c r="I2" i="36"/>
  <c r="D20" i="56"/>
  <c r="B20" i="56"/>
  <c r="L19" i="56"/>
  <c r="L17" i="56"/>
  <c r="D17" i="56"/>
  <c r="B17" i="56"/>
  <c r="D14" i="56"/>
  <c r="B14" i="56"/>
  <c r="L13" i="56"/>
  <c r="D11" i="56"/>
  <c r="B11" i="56"/>
  <c r="K3" i="56"/>
  <c r="I2" i="56"/>
  <c r="D20" i="55"/>
  <c r="B20" i="55"/>
  <c r="L19" i="55"/>
  <c r="L17" i="55"/>
  <c r="D17" i="55"/>
  <c r="B17" i="55"/>
  <c r="D14" i="55"/>
  <c r="B14" i="55"/>
  <c r="L13" i="55"/>
  <c r="D11" i="55"/>
  <c r="B11" i="55"/>
  <c r="K3" i="55"/>
  <c r="I2" i="55"/>
  <c r="D20" i="33"/>
  <c r="B20" i="33"/>
  <c r="L19" i="33"/>
  <c r="L17" i="33"/>
  <c r="D17" i="33"/>
  <c r="B17" i="33"/>
  <c r="D14" i="33"/>
  <c r="B14" i="33"/>
  <c r="L13" i="33"/>
  <c r="D11" i="33"/>
  <c r="B11" i="33"/>
  <c r="K3" i="33"/>
  <c r="I2" i="33"/>
  <c r="D20" i="26"/>
  <c r="B20" i="26"/>
  <c r="L19" i="26"/>
  <c r="L17" i="26"/>
  <c r="D17" i="26"/>
  <c r="B17" i="26"/>
  <c r="D14" i="26"/>
  <c r="B14" i="26"/>
  <c r="L13" i="26"/>
  <c r="D11" i="26"/>
  <c r="B11" i="26"/>
  <c r="K3" i="26"/>
  <c r="I2" i="26"/>
  <c r="D20" i="31"/>
  <c r="B20" i="31"/>
  <c r="L19" i="31"/>
  <c r="L17" i="31"/>
  <c r="D17" i="31"/>
  <c r="B17" i="31"/>
  <c r="D14" i="31"/>
  <c r="B14" i="31"/>
  <c r="L13" i="31"/>
  <c r="D11" i="31"/>
  <c r="B11" i="31"/>
  <c r="K3" i="31"/>
  <c r="I2" i="31"/>
  <c r="D20" i="29"/>
  <c r="B20" i="29"/>
  <c r="L19" i="29"/>
  <c r="L17" i="29"/>
  <c r="D17" i="29"/>
  <c r="B17" i="29"/>
  <c r="D14" i="29"/>
  <c r="B14" i="29"/>
  <c r="L13" i="29"/>
  <c r="D11" i="29"/>
  <c r="B11" i="29"/>
  <c r="K3" i="29"/>
  <c r="I2" i="29"/>
  <c r="D20" i="27"/>
  <c r="B20" i="27"/>
  <c r="L19" i="27"/>
  <c r="L17" i="27"/>
  <c r="D17" i="27"/>
  <c r="B17" i="27"/>
  <c r="D14" i="27"/>
  <c r="B14" i="27"/>
  <c r="L13" i="27"/>
  <c r="D11" i="27"/>
  <c r="B11" i="27"/>
  <c r="K3" i="27"/>
  <c r="I2" i="27"/>
  <c r="D20" i="51"/>
  <c r="B20" i="51"/>
  <c r="L19" i="51"/>
  <c r="L17" i="51"/>
  <c r="D17" i="51"/>
  <c r="B17" i="51"/>
  <c r="D14" i="51"/>
  <c r="B14" i="51"/>
  <c r="L13" i="51"/>
  <c r="D11" i="51"/>
  <c r="B11" i="51"/>
  <c r="K3" i="51"/>
  <c r="I2" i="51"/>
  <c r="D20" i="25"/>
  <c r="B20" i="25"/>
  <c r="L19" i="25"/>
  <c r="L17" i="25"/>
  <c r="D17" i="25"/>
  <c r="B17" i="25"/>
  <c r="D14" i="25"/>
  <c r="B14" i="25"/>
  <c r="L13" i="25"/>
  <c r="D11" i="25"/>
  <c r="B11" i="25"/>
  <c r="K3" i="25"/>
  <c r="I2" i="25"/>
  <c r="D20" i="24"/>
  <c r="B20" i="24"/>
  <c r="L19" i="24"/>
  <c r="L17" i="24"/>
  <c r="D17" i="24"/>
  <c r="B17" i="24"/>
  <c r="D14" i="24"/>
  <c r="B14" i="24"/>
  <c r="L13" i="24"/>
  <c r="D11" i="24"/>
  <c r="B11" i="24"/>
  <c r="K3" i="24"/>
  <c r="I2" i="24"/>
  <c r="D20" i="23"/>
  <c r="B20" i="23"/>
  <c r="L19" i="23"/>
  <c r="L17" i="23"/>
  <c r="D17" i="23"/>
  <c r="B17" i="23"/>
  <c r="D14" i="23"/>
  <c r="B14" i="23"/>
  <c r="L13" i="23"/>
  <c r="D11" i="23"/>
  <c r="B11" i="23"/>
  <c r="K3" i="23"/>
  <c r="I2" i="23"/>
  <c r="D20" i="32"/>
  <c r="B20" i="32"/>
  <c r="L19" i="32"/>
  <c r="L17" i="32"/>
  <c r="D17" i="32"/>
  <c r="B17" i="32"/>
  <c r="D14" i="32"/>
  <c r="B14" i="32"/>
  <c r="L13" i="32"/>
  <c r="D11" i="32"/>
  <c r="B11" i="32"/>
  <c r="K3" i="32"/>
  <c r="I2" i="32"/>
  <c r="D20" i="58"/>
  <c r="B20" i="58"/>
  <c r="L19" i="58"/>
  <c r="L17" i="58"/>
  <c r="D17" i="58"/>
  <c r="B17" i="58"/>
  <c r="D14" i="58"/>
  <c r="B14" i="58"/>
  <c r="L13" i="58"/>
  <c r="D11" i="58"/>
  <c r="B11" i="58"/>
  <c r="K3" i="58"/>
  <c r="I2" i="58"/>
  <c r="D20" i="18"/>
  <c r="B20" i="18"/>
  <c r="L19" i="18"/>
  <c r="L17" i="18"/>
  <c r="D17" i="18"/>
  <c r="B17" i="18"/>
  <c r="D14" i="18"/>
  <c r="B14" i="18"/>
  <c r="L13" i="18"/>
  <c r="D11" i="18"/>
  <c r="B11" i="18"/>
  <c r="K3" i="18"/>
  <c r="I2" i="18"/>
  <c r="D20" i="17"/>
  <c r="B20" i="17"/>
  <c r="L19" i="17"/>
  <c r="L17" i="17"/>
  <c r="D17" i="17"/>
  <c r="B17" i="17"/>
  <c r="D14" i="17"/>
  <c r="B14" i="17"/>
  <c r="L13" i="17"/>
  <c r="D11" i="17"/>
  <c r="B11" i="17"/>
  <c r="K3" i="17"/>
  <c r="I2" i="17"/>
  <c r="D20" i="16"/>
  <c r="B20" i="16"/>
  <c r="L19" i="16"/>
  <c r="L17" i="16"/>
  <c r="D17" i="16"/>
  <c r="B17" i="16"/>
  <c r="D14" i="16"/>
  <c r="B14" i="16"/>
  <c r="L13" i="16"/>
  <c r="D11" i="16"/>
  <c r="B11" i="16"/>
  <c r="K3" i="16"/>
  <c r="I2" i="16"/>
  <c r="L16" i="51"/>
  <c r="F11" i="55" l="1"/>
  <c r="F20" i="37"/>
  <c r="F14" i="25"/>
  <c r="F17" i="31"/>
  <c r="F20" i="51"/>
  <c r="F20" i="26"/>
  <c r="F20" i="17"/>
  <c r="F11" i="16"/>
  <c r="F11" i="26"/>
  <c r="F20" i="56"/>
  <c r="F17" i="27"/>
  <c r="F20" i="23"/>
  <c r="F17" i="16"/>
  <c r="D8" i="18"/>
  <c r="F20" i="41"/>
  <c r="F17" i="56"/>
  <c r="F11" i="31"/>
  <c r="F20" i="55"/>
  <c r="D8" i="29"/>
  <c r="F20" i="36"/>
  <c r="F20" i="29"/>
  <c r="F11" i="58"/>
  <c r="F20" i="24"/>
  <c r="B8" i="39"/>
  <c r="D8" i="24"/>
  <c r="F17" i="18"/>
  <c r="F14" i="32"/>
  <c r="D8" i="25"/>
  <c r="B8" i="24"/>
  <c r="D8" i="37"/>
  <c r="B8" i="27"/>
  <c r="B8" i="25"/>
  <c r="F17" i="39"/>
  <c r="F17" i="52"/>
  <c r="B8" i="32"/>
  <c r="D8" i="56"/>
  <c r="F20" i="16"/>
  <c r="F11" i="27"/>
  <c r="F20" i="31"/>
  <c r="D8" i="39"/>
  <c r="B8" i="52"/>
  <c r="B8" i="29"/>
  <c r="D8" i="52"/>
  <c r="B8" i="16"/>
  <c r="F20" i="18"/>
  <c r="F17" i="24"/>
  <c r="B8" i="31"/>
  <c r="F20" i="33"/>
  <c r="F17" i="36"/>
  <c r="B8" i="17"/>
  <c r="F17" i="25"/>
  <c r="F11" i="17"/>
  <c r="B8" i="18"/>
  <c r="B8" i="58"/>
  <c r="B8" i="55"/>
  <c r="F20" i="25"/>
  <c r="F17" i="29"/>
  <c r="B8" i="56"/>
  <c r="B8" i="36"/>
  <c r="F17" i="17"/>
  <c r="F11" i="36"/>
  <c r="F20" i="39"/>
  <c r="F20" i="58"/>
  <c r="F14" i="58"/>
  <c r="D8" i="58"/>
  <c r="D8" i="32"/>
  <c r="F20" i="32"/>
  <c r="B8" i="23"/>
  <c r="D8" i="23"/>
  <c r="F17" i="23"/>
  <c r="F14" i="23"/>
  <c r="F11" i="24"/>
  <c r="F14" i="24"/>
  <c r="D8" i="51"/>
  <c r="B8" i="51"/>
  <c r="F14" i="51"/>
  <c r="F20" i="27"/>
  <c r="D8" i="27"/>
  <c r="F14" i="29"/>
  <c r="D8" i="31"/>
  <c r="F14" i="31"/>
  <c r="B8" i="26"/>
  <c r="F14" i="26"/>
  <c r="D8" i="26"/>
  <c r="F14" i="33"/>
  <c r="D8" i="33"/>
  <c r="B8" i="33"/>
  <c r="D8" i="55"/>
  <c r="F14" i="55"/>
  <c r="F14" i="56"/>
  <c r="F14" i="36"/>
  <c r="D8" i="36"/>
  <c r="F14" i="37"/>
  <c r="F17" i="37"/>
  <c r="B8" i="37"/>
  <c r="F14" i="39"/>
  <c r="F20" i="52"/>
  <c r="F14" i="52"/>
  <c r="F14" i="41"/>
  <c r="D8" i="41"/>
  <c r="B8" i="41"/>
  <c r="F17" i="41"/>
  <c r="F11" i="41"/>
  <c r="F11" i="52"/>
  <c r="F11" i="39"/>
  <c r="F11" i="37"/>
  <c r="F11" i="56"/>
  <c r="F17" i="55"/>
  <c r="F17" i="33"/>
  <c r="F11" i="33"/>
  <c r="F17" i="26"/>
  <c r="F11" i="29"/>
  <c r="F14" i="27"/>
  <c r="F17" i="51"/>
  <c r="F11" i="51"/>
  <c r="F11" i="25"/>
  <c r="F11" i="23"/>
  <c r="F17" i="32"/>
  <c r="F11" i="32"/>
  <c r="F17" i="58"/>
  <c r="F11" i="18"/>
  <c r="F14" i="18"/>
  <c r="F14" i="17"/>
  <c r="D8" i="17"/>
  <c r="F14" i="16"/>
  <c r="D8" i="16"/>
  <c r="H17" i="8" l="1"/>
  <c r="AC6" i="1"/>
  <c r="F8" i="27"/>
  <c r="F8" i="26"/>
  <c r="F8" i="18"/>
  <c r="F8" i="16"/>
  <c r="F8" i="23"/>
  <c r="F8" i="52"/>
  <c r="F8" i="24"/>
  <c r="F8" i="55"/>
  <c r="F8" i="51"/>
  <c r="F8" i="29"/>
  <c r="F8" i="33"/>
  <c r="F8" i="56"/>
  <c r="F8" i="17"/>
  <c r="F8" i="36"/>
  <c r="F8" i="39"/>
  <c r="F8" i="32"/>
  <c r="F8" i="58"/>
  <c r="F8" i="25"/>
  <c r="F8" i="37"/>
  <c r="F8" i="31"/>
  <c r="F8" i="41"/>
  <c r="V40" i="2"/>
  <c r="W40" i="2" s="1"/>
  <c r="W39" i="2" s="1"/>
  <c r="B21" i="8" l="1"/>
  <c r="L16" i="8"/>
  <c r="AH17" i="1" l="1"/>
  <c r="L14" i="8" s="1"/>
  <c r="H14" i="8" l="1"/>
  <c r="H11" i="8"/>
  <c r="AF8" i="1"/>
  <c r="AG8" i="1" s="1"/>
  <c r="AL8" i="1" s="1"/>
  <c r="AG17" i="1"/>
  <c r="AF17" i="1"/>
  <c r="AE17" i="1"/>
  <c r="AD17" i="1"/>
  <c r="L16" i="52" l="1"/>
  <c r="L16" i="23"/>
  <c r="L16" i="56"/>
  <c r="L16" i="55"/>
  <c r="L19" i="15" l="1"/>
  <c r="L17" i="15"/>
  <c r="AO7" i="2" l="1"/>
  <c r="AS13" i="2"/>
  <c r="AR13" i="2"/>
  <c r="AQ13" i="2"/>
  <c r="AK13" i="2"/>
  <c r="AJ13" i="2"/>
  <c r="AI13" i="2"/>
  <c r="B23" i="16"/>
  <c r="B20" i="15"/>
  <c r="D17" i="11"/>
  <c r="B17" i="11"/>
  <c r="B23" i="11"/>
  <c r="L14" i="56" l="1"/>
  <c r="H11" i="56" l="1"/>
  <c r="H8" i="56"/>
  <c r="H17" i="56"/>
  <c r="D23" i="16"/>
  <c r="F23" i="16" s="1"/>
  <c r="D20" i="15"/>
  <c r="F20" i="15" s="1"/>
  <c r="D17" i="15"/>
  <c r="B17" i="15"/>
  <c r="D14" i="15"/>
  <c r="B14" i="15"/>
  <c r="L13" i="15"/>
  <c r="D11" i="15"/>
  <c r="B11" i="15"/>
  <c r="D23" i="11"/>
  <c r="D20" i="11"/>
  <c r="B20" i="11"/>
  <c r="L16" i="11"/>
  <c r="D14" i="11"/>
  <c r="B14" i="11"/>
  <c r="L13" i="11"/>
  <c r="D11" i="11"/>
  <c r="B11" i="11"/>
  <c r="D20" i="9"/>
  <c r="D17" i="9"/>
  <c r="B17" i="9"/>
  <c r="L16" i="9"/>
  <c r="D14" i="9"/>
  <c r="B14" i="9"/>
  <c r="L13" i="9"/>
  <c r="D11" i="9"/>
  <c r="B11" i="9"/>
  <c r="D20" i="10"/>
  <c r="B20" i="10"/>
  <c r="D17" i="10"/>
  <c r="B17" i="10"/>
  <c r="L16" i="10"/>
  <c r="D14" i="10"/>
  <c r="B14" i="10"/>
  <c r="L13" i="10"/>
  <c r="D11" i="10"/>
  <c r="B11" i="10"/>
  <c r="L16" i="49"/>
  <c r="D20" i="49"/>
  <c r="B20" i="49"/>
  <c r="D17" i="49"/>
  <c r="B17" i="49"/>
  <c r="D14" i="49"/>
  <c r="B14" i="49"/>
  <c r="L13" i="49"/>
  <c r="D11" i="49"/>
  <c r="B11" i="49"/>
  <c r="B8" i="10" l="1"/>
  <c r="D8" i="15"/>
  <c r="D8" i="9"/>
  <c r="D8" i="10"/>
  <c r="D8" i="49"/>
  <c r="B8" i="49"/>
  <c r="B8" i="15"/>
  <c r="B8" i="9"/>
  <c r="F11" i="10"/>
  <c r="F20" i="10"/>
  <c r="F17" i="10"/>
  <c r="F20" i="9"/>
  <c r="F14" i="9"/>
  <c r="F17" i="9"/>
  <c r="F14" i="10"/>
  <c r="F11" i="9"/>
  <c r="F14" i="11"/>
  <c r="F20" i="11"/>
  <c r="F17" i="11"/>
  <c r="F17" i="49"/>
  <c r="F14" i="49"/>
  <c r="D8" i="11"/>
  <c r="F17" i="15"/>
  <c r="F11" i="11"/>
  <c r="F23" i="11"/>
  <c r="F20" i="49"/>
  <c r="B8" i="11"/>
  <c r="F11" i="15"/>
  <c r="F14" i="15"/>
  <c r="F11" i="49"/>
  <c r="L14" i="52" l="1"/>
  <c r="L14" i="51"/>
  <c r="H8" i="49"/>
  <c r="F8" i="9"/>
  <c r="F8" i="10"/>
  <c r="F8" i="15"/>
  <c r="F8" i="49"/>
  <c r="F8" i="11"/>
  <c r="AF10" i="1" l="1"/>
  <c r="AG10" i="1" s="1"/>
  <c r="T47" i="47" l="1"/>
  <c r="U47" i="47"/>
  <c r="V47" i="47"/>
  <c r="V50" i="47"/>
  <c r="U50" i="47"/>
  <c r="T50" i="47"/>
  <c r="V49" i="47"/>
  <c r="U49" i="47"/>
  <c r="T49" i="47"/>
  <c r="V48" i="47"/>
  <c r="U48" i="47"/>
  <c r="T48" i="47"/>
  <c r="G134" i="47"/>
  <c r="F134" i="47"/>
  <c r="E134" i="47"/>
  <c r="G113" i="47"/>
  <c r="F113" i="47"/>
  <c r="U25" i="47" s="1"/>
  <c r="E113" i="47"/>
  <c r="I113" i="47" s="1"/>
  <c r="L113" i="47" s="1"/>
  <c r="I112" i="47"/>
  <c r="L112" i="47" s="1"/>
  <c r="L111" i="47"/>
  <c r="I110" i="47"/>
  <c r="L110" i="47" s="1"/>
  <c r="L109" i="47"/>
  <c r="I108" i="47"/>
  <c r="L108" i="47" s="1"/>
  <c r="I107" i="47"/>
  <c r="L107" i="47" s="1"/>
  <c r="I106" i="47"/>
  <c r="L106" i="47" s="1"/>
  <c r="I105" i="47"/>
  <c r="L105" i="47" s="1"/>
  <c r="L104" i="47"/>
  <c r="I104" i="47"/>
  <c r="I103" i="47"/>
  <c r="L103" i="47" s="1"/>
  <c r="I102" i="47"/>
  <c r="L102" i="47" s="1"/>
  <c r="O84" i="47"/>
  <c r="N84" i="47"/>
  <c r="M84" i="47"/>
  <c r="G84" i="47"/>
  <c r="F84" i="47"/>
  <c r="G69" i="47" s="1"/>
  <c r="E84" i="47"/>
  <c r="F67" i="47"/>
  <c r="G64" i="47"/>
  <c r="G62" i="47"/>
  <c r="E62" i="47"/>
  <c r="E60" i="47"/>
  <c r="O55" i="47"/>
  <c r="N55" i="47"/>
  <c r="G55" i="47"/>
  <c r="F55" i="47"/>
  <c r="U22" i="47" s="1"/>
  <c r="E55" i="47"/>
  <c r="M50" i="47"/>
  <c r="M49" i="47"/>
  <c r="M48" i="47"/>
  <c r="M47" i="47"/>
  <c r="O29" i="47"/>
  <c r="N29" i="47"/>
  <c r="G29" i="47"/>
  <c r="F29" i="47"/>
  <c r="E14" i="47" s="1"/>
  <c r="E29" i="47"/>
  <c r="U24" i="47"/>
  <c r="M22" i="47"/>
  <c r="M21" i="47"/>
  <c r="M20" i="47"/>
  <c r="M19" i="47"/>
  <c r="E12" i="47"/>
  <c r="G10" i="47"/>
  <c r="U7" i="47"/>
  <c r="U6" i="47"/>
  <c r="G6" i="47"/>
  <c r="F6" i="47"/>
  <c r="W5" i="47"/>
  <c r="V5" i="47"/>
  <c r="U4" i="47"/>
  <c r="F14" i="47" l="1"/>
  <c r="E5" i="47"/>
  <c r="E8" i="47"/>
  <c r="G5" i="47"/>
  <c r="F8" i="47"/>
  <c r="G9" i="47"/>
  <c r="U21" i="47"/>
  <c r="E10" i="47"/>
  <c r="M29" i="47"/>
  <c r="F5" i="47"/>
  <c r="F10" i="47"/>
  <c r="F64" i="47"/>
  <c r="E7" i="47"/>
  <c r="F12" i="47"/>
  <c r="E9" i="47"/>
  <c r="E15" i="47" s="1"/>
  <c r="G12" i="47"/>
  <c r="G8" i="47"/>
  <c r="M55" i="47"/>
  <c r="F7" i="47"/>
  <c r="E6" i="47"/>
  <c r="G7" i="47"/>
  <c r="F9" i="47"/>
  <c r="G61" i="47"/>
  <c r="G15" i="47"/>
  <c r="F62" i="47"/>
  <c r="E67" i="47"/>
  <c r="F60" i="47"/>
  <c r="E63" i="47"/>
  <c r="G67" i="47"/>
  <c r="G60" i="47"/>
  <c r="F63" i="47"/>
  <c r="E69" i="47"/>
  <c r="E61" i="47"/>
  <c r="G63" i="47"/>
  <c r="F69" i="47"/>
  <c r="F61" i="47"/>
  <c r="E64" i="47"/>
  <c r="F15" i="47" l="1"/>
  <c r="G70" i="47"/>
  <c r="E70" i="47"/>
  <c r="F70" i="47"/>
  <c r="G104" i="45" l="1"/>
  <c r="F104" i="45"/>
  <c r="U21" i="45" s="1"/>
  <c r="E104" i="45"/>
  <c r="I104" i="45" s="1"/>
  <c r="L104" i="45" s="1"/>
  <c r="G77" i="45"/>
  <c r="F77" i="45"/>
  <c r="E57" i="45" s="1"/>
  <c r="E77" i="45"/>
  <c r="E25" i="45"/>
  <c r="G25" i="45"/>
  <c r="G51" i="45"/>
  <c r="E51" i="45"/>
  <c r="F51" i="45"/>
  <c r="F25" i="45"/>
  <c r="E12" i="45" s="1"/>
  <c r="G125" i="45"/>
  <c r="F125" i="45"/>
  <c r="E125" i="45"/>
  <c r="I103" i="45"/>
  <c r="L103" i="45" s="1"/>
  <c r="L102" i="45"/>
  <c r="I101" i="45"/>
  <c r="L101" i="45" s="1"/>
  <c r="L100" i="45"/>
  <c r="I99" i="45"/>
  <c r="L99" i="45" s="1"/>
  <c r="I98" i="45"/>
  <c r="L98" i="45" s="1"/>
  <c r="I97" i="45"/>
  <c r="L97" i="45" s="1"/>
  <c r="I96" i="45"/>
  <c r="L96" i="45" s="1"/>
  <c r="I95" i="45"/>
  <c r="L95" i="45" s="1"/>
  <c r="O77" i="45"/>
  <c r="N77" i="45"/>
  <c r="M77" i="45"/>
  <c r="O51" i="45"/>
  <c r="N51" i="45"/>
  <c r="M45" i="45"/>
  <c r="M44" i="45"/>
  <c r="M43" i="45"/>
  <c r="O25" i="45"/>
  <c r="N25" i="45"/>
  <c r="M19" i="45"/>
  <c r="M18" i="45"/>
  <c r="M17" i="45"/>
  <c r="W7" i="45"/>
  <c r="V7" i="45"/>
  <c r="U7" i="45"/>
  <c r="W6" i="45"/>
  <c r="V6" i="45"/>
  <c r="U6" i="45"/>
  <c r="W5" i="45"/>
  <c r="V5" i="45"/>
  <c r="U5" i="45"/>
  <c r="W4" i="45"/>
  <c r="V4" i="45"/>
  <c r="U4" i="45"/>
  <c r="K3" i="49" l="1"/>
  <c r="G57" i="45"/>
  <c r="E58" i="45"/>
  <c r="F59" i="45"/>
  <c r="E59" i="45"/>
  <c r="G59" i="45"/>
  <c r="G62" i="45"/>
  <c r="F56" i="45"/>
  <c r="G56" i="45"/>
  <c r="F62" i="45"/>
  <c r="U20" i="45"/>
  <c r="F6" i="45"/>
  <c r="G10" i="45"/>
  <c r="F5" i="45"/>
  <c r="F7" i="45"/>
  <c r="F12" i="45"/>
  <c r="E64" i="45"/>
  <c r="M51" i="45"/>
  <c r="F64" i="45"/>
  <c r="E5" i="45"/>
  <c r="G6" i="45"/>
  <c r="M25" i="45"/>
  <c r="F57" i="45"/>
  <c r="G64" i="45"/>
  <c r="G5" i="45"/>
  <c r="E8" i="45"/>
  <c r="F8" i="45"/>
  <c r="E10" i="45"/>
  <c r="U19" i="45"/>
  <c r="F58" i="45"/>
  <c r="E62" i="45"/>
  <c r="E7" i="45"/>
  <c r="G8" i="45"/>
  <c r="F10" i="45"/>
  <c r="E56" i="45"/>
  <c r="G58" i="45"/>
  <c r="E6" i="45"/>
  <c r="G7" i="45"/>
  <c r="G65" i="45" l="1"/>
  <c r="F65" i="45"/>
  <c r="F13" i="45"/>
  <c r="G13" i="45"/>
  <c r="E13" i="45"/>
  <c r="E65" i="45"/>
  <c r="G136" i="2" l="1"/>
  <c r="F136" i="2"/>
  <c r="E136" i="2"/>
  <c r="M30" i="44"/>
  <c r="R30" i="44" s="1"/>
  <c r="M34" i="44"/>
  <c r="R34" i="44" s="1"/>
  <c r="P39" i="44"/>
  <c r="Q39" i="44" s="1"/>
  <c r="J39" i="44"/>
  <c r="H39" i="44"/>
  <c r="F39" i="44"/>
  <c r="D39" i="44"/>
  <c r="B39" i="44"/>
  <c r="N39" i="44" s="1"/>
  <c r="P38" i="44"/>
  <c r="Q38" i="44" s="1"/>
  <c r="J38" i="44"/>
  <c r="K38" i="44" s="1"/>
  <c r="H38" i="44"/>
  <c r="I38" i="44" s="1"/>
  <c r="F38" i="44"/>
  <c r="D38" i="44"/>
  <c r="E38" i="44" s="1"/>
  <c r="B38" i="44"/>
  <c r="C38" i="44" s="1"/>
  <c r="P37" i="44"/>
  <c r="Q37" i="44" s="1"/>
  <c r="J37" i="44"/>
  <c r="H37" i="44"/>
  <c r="F37" i="44"/>
  <c r="D37" i="44"/>
  <c r="B37" i="44"/>
  <c r="C37" i="44" s="1"/>
  <c r="P36" i="44"/>
  <c r="Q36" i="44" s="1"/>
  <c r="J36" i="44"/>
  <c r="K36" i="44" s="1"/>
  <c r="H36" i="44"/>
  <c r="F36" i="44"/>
  <c r="D36" i="44"/>
  <c r="B36" i="44"/>
  <c r="N36" i="44" s="1"/>
  <c r="P35" i="44"/>
  <c r="Q35" i="44" s="1"/>
  <c r="J35" i="44"/>
  <c r="H35" i="44"/>
  <c r="F35" i="44"/>
  <c r="D35" i="44"/>
  <c r="B35" i="44"/>
  <c r="N35" i="44" s="1"/>
  <c r="P33" i="44"/>
  <c r="Q33" i="44" s="1"/>
  <c r="J33" i="44"/>
  <c r="H33" i="44"/>
  <c r="F33" i="44"/>
  <c r="D33" i="44"/>
  <c r="B33" i="44"/>
  <c r="N33" i="44" s="1"/>
  <c r="P32" i="44"/>
  <c r="Q32" i="44" s="1"/>
  <c r="J32" i="44"/>
  <c r="H32" i="44"/>
  <c r="F32" i="44"/>
  <c r="D32" i="44"/>
  <c r="B32" i="44"/>
  <c r="C32" i="44" s="1"/>
  <c r="P31" i="44"/>
  <c r="Q31" i="44" s="1"/>
  <c r="J31" i="44"/>
  <c r="K31" i="44" s="1"/>
  <c r="H31" i="44"/>
  <c r="F31" i="44"/>
  <c r="D31" i="44"/>
  <c r="B31" i="44"/>
  <c r="N31" i="44" s="1"/>
  <c r="P29" i="44"/>
  <c r="Q29" i="44" s="1"/>
  <c r="J29" i="44"/>
  <c r="H29" i="44"/>
  <c r="F29" i="44"/>
  <c r="D29" i="44"/>
  <c r="B29" i="44"/>
  <c r="N29" i="44" s="1"/>
  <c r="P28" i="44"/>
  <c r="Q28" i="44" s="1"/>
  <c r="J28" i="44"/>
  <c r="K28" i="44" s="1"/>
  <c r="H28" i="44"/>
  <c r="F28" i="44"/>
  <c r="D28" i="44"/>
  <c r="B28" i="44"/>
  <c r="C28" i="44" s="1"/>
  <c r="P27" i="44"/>
  <c r="Q27" i="44" s="1"/>
  <c r="J27" i="44"/>
  <c r="K27" i="44" s="1"/>
  <c r="H27" i="44"/>
  <c r="F27" i="44"/>
  <c r="D27" i="44"/>
  <c r="B27" i="44"/>
  <c r="C27" i="44" s="1"/>
  <c r="P26" i="44"/>
  <c r="Q26" i="44" s="1"/>
  <c r="J26" i="44"/>
  <c r="H26" i="44"/>
  <c r="F26" i="44"/>
  <c r="D26" i="44"/>
  <c r="B26" i="44"/>
  <c r="N26" i="44" s="1"/>
  <c r="P25" i="44"/>
  <c r="Q25" i="44" s="1"/>
  <c r="J25" i="44"/>
  <c r="H25" i="44"/>
  <c r="F25" i="44"/>
  <c r="D25" i="44"/>
  <c r="B25" i="44"/>
  <c r="N25" i="44" s="1"/>
  <c r="P24" i="44"/>
  <c r="Q24" i="44" s="1"/>
  <c r="J24" i="44"/>
  <c r="K24" i="44" s="1"/>
  <c r="H24" i="44"/>
  <c r="F24" i="44"/>
  <c r="D24" i="44"/>
  <c r="B24" i="44"/>
  <c r="N24" i="44" s="1"/>
  <c r="P23" i="44"/>
  <c r="Q23" i="44" s="1"/>
  <c r="J23" i="44"/>
  <c r="H23" i="44"/>
  <c r="F23" i="44"/>
  <c r="D23" i="44"/>
  <c r="B23" i="44"/>
  <c r="C23" i="44" s="1"/>
  <c r="P22" i="44"/>
  <c r="Q22" i="44" s="1"/>
  <c r="J22" i="44"/>
  <c r="K22" i="44" s="1"/>
  <c r="H22" i="44"/>
  <c r="F22" i="44"/>
  <c r="D22" i="44"/>
  <c r="B22" i="44"/>
  <c r="C22" i="44" s="1"/>
  <c r="P21" i="44"/>
  <c r="Q21" i="44" s="1"/>
  <c r="J21" i="44"/>
  <c r="H21" i="44"/>
  <c r="F21" i="44"/>
  <c r="D21" i="44"/>
  <c r="B21" i="44"/>
  <c r="N21" i="44" s="1"/>
  <c r="P20" i="44"/>
  <c r="Q20" i="44" s="1"/>
  <c r="J20" i="44"/>
  <c r="H20" i="44"/>
  <c r="F20" i="44"/>
  <c r="D20" i="44"/>
  <c r="B20" i="44"/>
  <c r="N20" i="44" s="1"/>
  <c r="P19" i="44"/>
  <c r="Q19" i="44" s="1"/>
  <c r="J19" i="44"/>
  <c r="H19" i="44"/>
  <c r="F19" i="44"/>
  <c r="D19" i="44"/>
  <c r="B19" i="44"/>
  <c r="N19" i="44" s="1"/>
  <c r="P18" i="44"/>
  <c r="Q18" i="44" s="1"/>
  <c r="J18" i="44"/>
  <c r="H18" i="44"/>
  <c r="F18" i="44"/>
  <c r="D18" i="44"/>
  <c r="B18" i="44"/>
  <c r="C18" i="44" s="1"/>
  <c r="P17" i="44"/>
  <c r="Q17" i="44" s="1"/>
  <c r="J17" i="44"/>
  <c r="H17" i="44"/>
  <c r="F17" i="44"/>
  <c r="D17" i="44"/>
  <c r="B17" i="44"/>
  <c r="N17" i="44" s="1"/>
  <c r="P16" i="44"/>
  <c r="Q16" i="44" s="1"/>
  <c r="J16" i="44"/>
  <c r="H16" i="44"/>
  <c r="F16" i="44"/>
  <c r="D16" i="44"/>
  <c r="B16" i="44"/>
  <c r="N16" i="44" s="1"/>
  <c r="P15" i="44"/>
  <c r="Q15" i="44" s="1"/>
  <c r="J15" i="44"/>
  <c r="H15" i="44"/>
  <c r="F15" i="44"/>
  <c r="D15" i="44"/>
  <c r="B15" i="44"/>
  <c r="N15" i="44" s="1"/>
  <c r="P14" i="44"/>
  <c r="Q14" i="44" s="1"/>
  <c r="J14" i="44"/>
  <c r="H14" i="44"/>
  <c r="F14" i="44"/>
  <c r="D14" i="44"/>
  <c r="B14" i="44"/>
  <c r="N14" i="44" s="1"/>
  <c r="P13" i="44"/>
  <c r="Q13" i="44" s="1"/>
  <c r="J13" i="44"/>
  <c r="H13" i="44"/>
  <c r="F13" i="44"/>
  <c r="D13" i="44"/>
  <c r="B13" i="44"/>
  <c r="C13" i="44" s="1"/>
  <c r="AN12" i="44"/>
  <c r="AO12" i="44" s="1"/>
  <c r="AJ12" i="44"/>
  <c r="AH12" i="44"/>
  <c r="AF12" i="44"/>
  <c r="AD12" i="44"/>
  <c r="AB12" i="44"/>
  <c r="AL12" i="44" s="1"/>
  <c r="P12" i="44"/>
  <c r="Q12" i="44" s="1"/>
  <c r="J12" i="44"/>
  <c r="H12" i="44"/>
  <c r="F12" i="44"/>
  <c r="D12" i="44"/>
  <c r="B12" i="44"/>
  <c r="N12" i="44" s="1"/>
  <c r="AN11" i="44"/>
  <c r="AO11" i="44" s="1"/>
  <c r="AJ11" i="44"/>
  <c r="AH11" i="44"/>
  <c r="AF11" i="44"/>
  <c r="AD11" i="44"/>
  <c r="AB11" i="44"/>
  <c r="AL11" i="44" s="1"/>
  <c r="P11" i="44"/>
  <c r="Q11" i="44" s="1"/>
  <c r="J11" i="44"/>
  <c r="H11" i="44"/>
  <c r="F11" i="44"/>
  <c r="D11" i="44"/>
  <c r="B11" i="44"/>
  <c r="N11" i="44" s="1"/>
  <c r="AN10" i="44"/>
  <c r="AO10" i="44" s="1"/>
  <c r="AJ10" i="44"/>
  <c r="AH10" i="44"/>
  <c r="AF10" i="44"/>
  <c r="AD10" i="44"/>
  <c r="AB10" i="44"/>
  <c r="AC10" i="44" s="1"/>
  <c r="P10" i="44"/>
  <c r="Q10" i="44" s="1"/>
  <c r="J10" i="44"/>
  <c r="K10" i="44" s="1"/>
  <c r="H10" i="44"/>
  <c r="F10" i="44"/>
  <c r="D10" i="44"/>
  <c r="B10" i="44"/>
  <c r="N10" i="44" s="1"/>
  <c r="AN9" i="44"/>
  <c r="AO9" i="44" s="1"/>
  <c r="AJ9" i="44"/>
  <c r="AH9" i="44"/>
  <c r="AF9" i="44"/>
  <c r="AD9" i="44"/>
  <c r="AB9" i="44"/>
  <c r="AL9" i="44" s="1"/>
  <c r="P9" i="44"/>
  <c r="Q9" i="44" s="1"/>
  <c r="J9" i="44"/>
  <c r="H9" i="44"/>
  <c r="F9" i="44"/>
  <c r="D9" i="44"/>
  <c r="B9" i="44"/>
  <c r="N9" i="44" s="1"/>
  <c r="AN8" i="44"/>
  <c r="AO8" i="44" s="1"/>
  <c r="AJ8" i="44"/>
  <c r="AH8" i="44"/>
  <c r="AF8" i="44"/>
  <c r="AD8" i="44"/>
  <c r="AB8" i="44"/>
  <c r="AC8" i="44" s="1"/>
  <c r="P8" i="44"/>
  <c r="Q8" i="44" s="1"/>
  <c r="J8" i="44"/>
  <c r="H8" i="44"/>
  <c r="F8" i="44"/>
  <c r="D8" i="44"/>
  <c r="B8" i="44"/>
  <c r="C8" i="44" s="1"/>
  <c r="AM6" i="44"/>
  <c r="T6" i="44"/>
  <c r="O6" i="44"/>
  <c r="F2" i="44"/>
  <c r="W7" i="2"/>
  <c r="V7" i="2"/>
  <c r="W6" i="2"/>
  <c r="V6" i="2"/>
  <c r="W5" i="2"/>
  <c r="V5" i="2"/>
  <c r="U7" i="2"/>
  <c r="G20" i="1" s="1"/>
  <c r="U6" i="2"/>
  <c r="E29" i="1" s="1"/>
  <c r="U5" i="2"/>
  <c r="E50" i="1" s="1"/>
  <c r="W4" i="2"/>
  <c r="V4" i="2"/>
  <c r="I33" i="1" s="1"/>
  <c r="U4" i="2"/>
  <c r="E54" i="1" s="1"/>
  <c r="I109" i="2"/>
  <c r="L109" i="2" s="1"/>
  <c r="G10" i="64" l="1"/>
  <c r="I52" i="1"/>
  <c r="G50" i="1"/>
  <c r="P50" i="1" s="1"/>
  <c r="E52" i="1"/>
  <c r="G52" i="1"/>
  <c r="E46" i="1"/>
  <c r="I29" i="1"/>
  <c r="I46" i="1"/>
  <c r="G46" i="1"/>
  <c r="G29" i="1"/>
  <c r="G54" i="1"/>
  <c r="I54" i="1"/>
  <c r="E33" i="1"/>
  <c r="G33" i="1"/>
  <c r="I42" i="1"/>
  <c r="E42" i="1"/>
  <c r="I26" i="1"/>
  <c r="K9" i="1"/>
  <c r="I28" i="1"/>
  <c r="I20" i="1"/>
  <c r="I22" i="1"/>
  <c r="I31" i="1"/>
  <c r="G42" i="1"/>
  <c r="E28" i="1"/>
  <c r="G79" i="1"/>
  <c r="I79" i="1"/>
  <c r="E26" i="1"/>
  <c r="P14" i="1"/>
  <c r="G28" i="1"/>
  <c r="G26" i="1"/>
  <c r="E20" i="1"/>
  <c r="G22" i="1"/>
  <c r="G31" i="1"/>
  <c r="E31" i="1"/>
  <c r="P55" i="1"/>
  <c r="P77" i="1"/>
  <c r="G19" i="64"/>
  <c r="G29" i="64"/>
  <c r="G15" i="64"/>
  <c r="G9" i="64"/>
  <c r="G16" i="64"/>
  <c r="E22" i="64"/>
  <c r="G27" i="64"/>
  <c r="G17" i="64"/>
  <c r="G11" i="64"/>
  <c r="G8" i="64"/>
  <c r="G21" i="64"/>
  <c r="G33" i="64"/>
  <c r="G35" i="64"/>
  <c r="G34" i="64"/>
  <c r="E15" i="64"/>
  <c r="R15" i="64" s="1"/>
  <c r="E9" i="64"/>
  <c r="R9" i="64" s="1"/>
  <c r="E24" i="64"/>
  <c r="G12" i="64"/>
  <c r="E12" i="64"/>
  <c r="G24" i="64"/>
  <c r="E37" i="64"/>
  <c r="E16" i="64"/>
  <c r="E29" i="64"/>
  <c r="E26" i="64"/>
  <c r="E25" i="64"/>
  <c r="E32" i="64"/>
  <c r="G32" i="64"/>
  <c r="E14" i="64"/>
  <c r="E31" i="64"/>
  <c r="G30" i="64"/>
  <c r="G23" i="64"/>
  <c r="E13" i="64"/>
  <c r="G13" i="64"/>
  <c r="G22" i="64"/>
  <c r="E10" i="64"/>
  <c r="R10" i="64" s="1"/>
  <c r="E19" i="64"/>
  <c r="E30" i="64"/>
  <c r="E27" i="64"/>
  <c r="E17" i="64"/>
  <c r="E33" i="64"/>
  <c r="G36" i="64"/>
  <c r="E11" i="64"/>
  <c r="E34" i="64"/>
  <c r="E23" i="64"/>
  <c r="E8" i="64"/>
  <c r="E21" i="64"/>
  <c r="E35" i="64"/>
  <c r="E36" i="64"/>
  <c r="G31" i="64"/>
  <c r="G25" i="64"/>
  <c r="G26" i="64"/>
  <c r="G37" i="64"/>
  <c r="G14" i="64"/>
  <c r="E23" i="44"/>
  <c r="AK10" i="44"/>
  <c r="I27" i="44"/>
  <c r="AE10" i="44"/>
  <c r="G28" i="44"/>
  <c r="I18" i="44"/>
  <c r="E37" i="44"/>
  <c r="G37" i="44"/>
  <c r="G13" i="44"/>
  <c r="AI10" i="44"/>
  <c r="N13" i="44"/>
  <c r="K8" i="44"/>
  <c r="K18" i="44"/>
  <c r="K32" i="44"/>
  <c r="AG10" i="44"/>
  <c r="AK8" i="44"/>
  <c r="AL10" i="44"/>
  <c r="G23" i="44"/>
  <c r="I28" i="44"/>
  <c r="AC12" i="44"/>
  <c r="AE12" i="44" s="1"/>
  <c r="AG8" i="44"/>
  <c r="AC9" i="44"/>
  <c r="AI9" i="44" s="1"/>
  <c r="C25" i="44"/>
  <c r="G25" i="44" s="1"/>
  <c r="AC11" i="44"/>
  <c r="AG11" i="44" s="1"/>
  <c r="C11" i="44"/>
  <c r="E11" i="44" s="1"/>
  <c r="C15" i="44"/>
  <c r="E15" i="44" s="1"/>
  <c r="C16" i="44"/>
  <c r="G16" i="44" s="1"/>
  <c r="C19" i="44"/>
  <c r="M19" i="44" s="1"/>
  <c r="C26" i="44"/>
  <c r="I26" i="44" s="1"/>
  <c r="N28" i="44"/>
  <c r="C31" i="44"/>
  <c r="I31" i="44" s="1"/>
  <c r="C9" i="44"/>
  <c r="M9" i="44" s="1"/>
  <c r="N38" i="44"/>
  <c r="M28" i="44"/>
  <c r="C29" i="44"/>
  <c r="M29" i="44" s="1"/>
  <c r="C39" i="44"/>
  <c r="E39" i="44" s="1"/>
  <c r="C12" i="44"/>
  <c r="E12" i="44" s="1"/>
  <c r="C10" i="44"/>
  <c r="I10" i="44" s="1"/>
  <c r="C14" i="44"/>
  <c r="E14" i="44" s="1"/>
  <c r="C17" i="44"/>
  <c r="K17" i="44" s="1"/>
  <c r="C24" i="44"/>
  <c r="M24" i="44" s="1"/>
  <c r="N22" i="44"/>
  <c r="M22" i="44"/>
  <c r="N18" i="44"/>
  <c r="N27" i="44"/>
  <c r="N37" i="44"/>
  <c r="G32" i="44"/>
  <c r="I32" i="44"/>
  <c r="I11" i="44"/>
  <c r="N8" i="44"/>
  <c r="C20" i="44"/>
  <c r="G20" i="44" s="1"/>
  <c r="N32" i="44"/>
  <c r="C35" i="44"/>
  <c r="E35" i="44" s="1"/>
  <c r="N23" i="44"/>
  <c r="AL8" i="44"/>
  <c r="C21" i="44"/>
  <c r="M21" i="44" s="1"/>
  <c r="C33" i="44"/>
  <c r="M33" i="44" s="1"/>
  <c r="C36" i="44"/>
  <c r="I36" i="44" s="1"/>
  <c r="G18" i="44"/>
  <c r="K23" i="44"/>
  <c r="M27" i="44"/>
  <c r="M23" i="44"/>
  <c r="I8" i="44"/>
  <c r="M37" i="44"/>
  <c r="G38" i="44"/>
  <c r="I37" i="44"/>
  <c r="E27" i="44"/>
  <c r="M13" i="44"/>
  <c r="E13" i="44"/>
  <c r="K37" i="44"/>
  <c r="G27" i="44"/>
  <c r="E28" i="44"/>
  <c r="I23" i="44"/>
  <c r="I22" i="44"/>
  <c r="M32" i="44"/>
  <c r="G22" i="44"/>
  <c r="E32" i="44"/>
  <c r="M8" i="44"/>
  <c r="M38" i="44"/>
  <c r="AO6" i="44"/>
  <c r="AE8" i="44"/>
  <c r="Q6" i="44"/>
  <c r="M18" i="44"/>
  <c r="E18" i="44"/>
  <c r="G8" i="44"/>
  <c r="E22" i="44"/>
  <c r="AI8" i="44"/>
  <c r="I13" i="44"/>
  <c r="E8" i="44"/>
  <c r="K13" i="44"/>
  <c r="P33" i="1" l="1"/>
  <c r="P79" i="1"/>
  <c r="R33" i="64"/>
  <c r="P54" i="1"/>
  <c r="P29" i="1"/>
  <c r="R16" i="64"/>
  <c r="R29" i="64"/>
  <c r="P46" i="1"/>
  <c r="P42" i="1"/>
  <c r="P22" i="1"/>
  <c r="P31" i="1"/>
  <c r="R27" i="64"/>
  <c r="P26" i="1"/>
  <c r="P20" i="1"/>
  <c r="P52" i="1"/>
  <c r="P28" i="1"/>
  <c r="R21" i="64"/>
  <c r="P16" i="1"/>
  <c r="P78" i="1"/>
  <c r="P68" i="1"/>
  <c r="P35" i="1"/>
  <c r="R30" i="64"/>
  <c r="R19" i="64"/>
  <c r="P9" i="1"/>
  <c r="R22" i="64"/>
  <c r="R17" i="64"/>
  <c r="R12" i="64"/>
  <c r="R34" i="64"/>
  <c r="R35" i="64"/>
  <c r="R11" i="64"/>
  <c r="R23" i="64"/>
  <c r="R25" i="64"/>
  <c r="R32" i="64"/>
  <c r="R36" i="64"/>
  <c r="R13" i="64"/>
  <c r="R26" i="64"/>
  <c r="R37" i="64"/>
  <c r="G6" i="64"/>
  <c r="R8" i="64"/>
  <c r="E6" i="64"/>
  <c r="R31" i="64"/>
  <c r="R24" i="64"/>
  <c r="R14" i="64"/>
  <c r="H14" i="56"/>
  <c r="AG9" i="44"/>
  <c r="AE9" i="44"/>
  <c r="K25" i="44"/>
  <c r="K29" i="44"/>
  <c r="K11" i="44"/>
  <c r="K16" i="44"/>
  <c r="K9" i="44"/>
  <c r="K19" i="44"/>
  <c r="K33" i="44"/>
  <c r="K14" i="44"/>
  <c r="E20" i="44"/>
  <c r="E26" i="44"/>
  <c r="AI11" i="44"/>
  <c r="G39" i="44"/>
  <c r="AG12" i="44"/>
  <c r="K26" i="44"/>
  <c r="AK11" i="44"/>
  <c r="G9" i="44"/>
  <c r="K12" i="44"/>
  <c r="K15" i="44"/>
  <c r="AK12" i="44"/>
  <c r="K39" i="44"/>
  <c r="K35" i="44"/>
  <c r="AK9" i="44"/>
  <c r="I16" i="44"/>
  <c r="G11" i="44"/>
  <c r="G17" i="44"/>
  <c r="E17" i="44"/>
  <c r="AE11" i="44"/>
  <c r="E9" i="44"/>
  <c r="AL6" i="44"/>
  <c r="AP10" i="44"/>
  <c r="E16" i="44"/>
  <c r="E33" i="44"/>
  <c r="E25" i="44"/>
  <c r="E36" i="44"/>
  <c r="E19" i="44"/>
  <c r="M12" i="44"/>
  <c r="M26" i="44"/>
  <c r="G12" i="44"/>
  <c r="K21" i="44"/>
  <c r="I39" i="44"/>
  <c r="G35" i="44"/>
  <c r="G31" i="44"/>
  <c r="M39" i="44"/>
  <c r="E24" i="44"/>
  <c r="E31" i="44"/>
  <c r="E10" i="44"/>
  <c r="M35" i="44"/>
  <c r="M25" i="44"/>
  <c r="M31" i="44"/>
  <c r="G14" i="44"/>
  <c r="I12" i="44"/>
  <c r="G26" i="44"/>
  <c r="M36" i="44"/>
  <c r="I14" i="44"/>
  <c r="M14" i="44"/>
  <c r="I20" i="44"/>
  <c r="K20" i="44"/>
  <c r="AI12" i="44"/>
  <c r="I25" i="44"/>
  <c r="I15" i="44"/>
  <c r="M16" i="44"/>
  <c r="G24" i="44"/>
  <c r="I21" i="44"/>
  <c r="I29" i="44"/>
  <c r="I9" i="44"/>
  <c r="I19" i="44"/>
  <c r="E29" i="44"/>
  <c r="M20" i="44"/>
  <c r="M17" i="44"/>
  <c r="I17" i="44"/>
  <c r="I35" i="44"/>
  <c r="G36" i="44"/>
  <c r="E21" i="44"/>
  <c r="I33" i="44"/>
  <c r="G29" i="44"/>
  <c r="G19" i="44"/>
  <c r="G10" i="44"/>
  <c r="M15" i="44"/>
  <c r="I24" i="44"/>
  <c r="M11" i="44"/>
  <c r="R38" i="44"/>
  <c r="X38" i="44" s="1"/>
  <c r="G15" i="44"/>
  <c r="N6" i="44"/>
  <c r="R23" i="44"/>
  <c r="X23" i="44" s="1"/>
  <c r="M10" i="44"/>
  <c r="R28" i="44"/>
  <c r="X30" i="44" s="1"/>
  <c r="R37" i="44"/>
  <c r="V37" i="44" s="1"/>
  <c r="G21" i="44"/>
  <c r="G33" i="44"/>
  <c r="R22" i="44"/>
  <c r="X22" i="44" s="1"/>
  <c r="R27" i="44"/>
  <c r="V27" i="44" s="1"/>
  <c r="R32" i="44"/>
  <c r="V32" i="44" s="1"/>
  <c r="R18" i="44"/>
  <c r="V18" i="44" s="1"/>
  <c r="R13" i="44"/>
  <c r="AP8" i="44"/>
  <c r="R8" i="44"/>
  <c r="X8" i="44" s="1"/>
  <c r="AG6" i="44" l="1"/>
  <c r="R6" i="64"/>
  <c r="AE6" i="44"/>
  <c r="AP9" i="44"/>
  <c r="AP11" i="44"/>
  <c r="AK6" i="44"/>
  <c r="R16" i="44"/>
  <c r="X16" i="44" s="1"/>
  <c r="R9" i="44"/>
  <c r="X9" i="44" s="1"/>
  <c r="AP12" i="44"/>
  <c r="R11" i="44"/>
  <c r="V11" i="44" s="1"/>
  <c r="R26" i="44"/>
  <c r="V26" i="44" s="1"/>
  <c r="R35" i="44"/>
  <c r="X35" i="44" s="1"/>
  <c r="R12" i="44"/>
  <c r="V12" i="44" s="1"/>
  <c r="R39" i="44"/>
  <c r="V39" i="44" s="1"/>
  <c r="AI6" i="44"/>
  <c r="R31" i="44"/>
  <c r="V31" i="44" s="1"/>
  <c r="E6" i="44"/>
  <c r="R14" i="44"/>
  <c r="X14" i="44" s="1"/>
  <c r="R24" i="44"/>
  <c r="X24" i="44" s="1"/>
  <c r="I6" i="44"/>
  <c r="R19" i="44"/>
  <c r="V19" i="44" s="1"/>
  <c r="R25" i="44"/>
  <c r="X25" i="44" s="1"/>
  <c r="R36" i="44"/>
  <c r="X34" i="44" s="1"/>
  <c r="R20" i="44"/>
  <c r="V20" i="44" s="1"/>
  <c r="K6" i="44"/>
  <c r="R29" i="44"/>
  <c r="V29" i="44" s="1"/>
  <c r="M6" i="44"/>
  <c r="R17" i="44"/>
  <c r="X17" i="44" s="1"/>
  <c r="V38" i="44"/>
  <c r="R21" i="44"/>
  <c r="V21" i="44" s="1"/>
  <c r="R15" i="44"/>
  <c r="X15" i="44" s="1"/>
  <c r="R33" i="44"/>
  <c r="X33" i="44" s="1"/>
  <c r="X28" i="44"/>
  <c r="V23" i="44"/>
  <c r="V22" i="44"/>
  <c r="X37" i="44"/>
  <c r="R10" i="44"/>
  <c r="V10" i="44" s="1"/>
  <c r="G6" i="44"/>
  <c r="V28" i="44"/>
  <c r="X27" i="44"/>
  <c r="X18" i="44"/>
  <c r="X32" i="44"/>
  <c r="V13" i="44"/>
  <c r="X13" i="44"/>
  <c r="V8" i="44"/>
  <c r="V9" i="44" l="1"/>
  <c r="AP6" i="44"/>
  <c r="X26" i="44"/>
  <c r="X12" i="44"/>
  <c r="X39" i="44"/>
  <c r="V16" i="44"/>
  <c r="X11" i="44"/>
  <c r="V35" i="44"/>
  <c r="X31" i="44"/>
  <c r="V14" i="44"/>
  <c r="V36" i="44"/>
  <c r="X20" i="44"/>
  <c r="X19" i="44"/>
  <c r="V17" i="44"/>
  <c r="V24" i="44"/>
  <c r="V25" i="44"/>
  <c r="X36" i="44"/>
  <c r="V33" i="44"/>
  <c r="X29" i="44"/>
  <c r="V15" i="44"/>
  <c r="X21" i="44"/>
  <c r="R6" i="44"/>
  <c r="X6" i="44" s="1"/>
  <c r="X10" i="44"/>
  <c r="G57" i="2"/>
  <c r="F57" i="2"/>
  <c r="V6" i="44" l="1"/>
  <c r="K3" i="15" l="1"/>
  <c r="K3" i="11"/>
  <c r="K3" i="10"/>
  <c r="K3" i="9"/>
  <c r="L13" i="8" l="1"/>
  <c r="D21" i="8"/>
  <c r="H20" i="10"/>
  <c r="H20" i="9"/>
  <c r="B17" i="8"/>
  <c r="D17" i="8"/>
  <c r="D11" i="8"/>
  <c r="B11" i="8"/>
  <c r="B14" i="8"/>
  <c r="D14" i="8"/>
  <c r="K3" i="8"/>
  <c r="B8" i="8" l="1"/>
  <c r="D8" i="8"/>
  <c r="H23" i="11"/>
  <c r="F17" i="8"/>
  <c r="F21" i="8"/>
  <c r="F11" i="8"/>
  <c r="F14" i="8"/>
  <c r="F8" i="8" l="1"/>
  <c r="F86" i="2"/>
  <c r="G29" i="2"/>
  <c r="F29" i="2"/>
  <c r="E29" i="2"/>
  <c r="I108" i="2"/>
  <c r="L108" i="2" s="1"/>
  <c r="L113" i="2"/>
  <c r="L111" i="2"/>
  <c r="I112" i="2"/>
  <c r="L112" i="2" s="1"/>
  <c r="I110" i="2"/>
  <c r="L110" i="2" s="1"/>
  <c r="I107" i="2"/>
  <c r="L107" i="2" s="1"/>
  <c r="I106" i="2"/>
  <c r="L106" i="2" s="1"/>
  <c r="I105" i="2"/>
  <c r="L105" i="2" s="1"/>
  <c r="I104" i="2"/>
  <c r="L104" i="2" s="1"/>
  <c r="H8" i="51" l="1"/>
  <c r="H8" i="52"/>
  <c r="H20" i="51"/>
  <c r="H20" i="52"/>
  <c r="F7" i="2"/>
  <c r="G10" i="2"/>
  <c r="F10" i="2"/>
  <c r="E10" i="2"/>
  <c r="F12" i="2"/>
  <c r="F69" i="2"/>
  <c r="U24" i="2"/>
  <c r="F62" i="2"/>
  <c r="G62" i="2"/>
  <c r="F14" i="2"/>
  <c r="U21" i="2"/>
  <c r="F65" i="2"/>
  <c r="F66" i="2"/>
  <c r="F5" i="2"/>
  <c r="G69" i="2"/>
  <c r="E71" i="2"/>
  <c r="F71" i="2"/>
  <c r="G6" i="2"/>
  <c r="F63" i="2"/>
  <c r="E66" i="2"/>
  <c r="G71" i="2"/>
  <c r="E5" i="2"/>
  <c r="E7" i="2"/>
  <c r="F64" i="2"/>
  <c r="E69" i="2"/>
  <c r="E12" i="2"/>
  <c r="E62" i="2"/>
  <c r="G5" i="2"/>
  <c r="E6" i="2"/>
  <c r="F6" i="2"/>
  <c r="G7" i="2"/>
  <c r="G8" i="2"/>
  <c r="E8" i="2"/>
  <c r="F8" i="2"/>
  <c r="G9" i="2"/>
  <c r="E9" i="2"/>
  <c r="F9" i="2"/>
  <c r="G12" i="2"/>
  <c r="E14" i="2"/>
  <c r="AI6" i="1"/>
  <c r="M6" i="1"/>
  <c r="H14" i="52" l="1"/>
  <c r="H11" i="52"/>
  <c r="H11" i="51"/>
  <c r="H17" i="51"/>
  <c r="I2" i="49"/>
  <c r="G15" i="2"/>
  <c r="E15" i="2"/>
  <c r="F15" i="2"/>
  <c r="F72" i="2"/>
  <c r="I2" i="15"/>
  <c r="I2" i="9"/>
  <c r="I2" i="10"/>
  <c r="I2" i="11"/>
  <c r="I2" i="8"/>
  <c r="L14" i="10"/>
  <c r="L14" i="9"/>
  <c r="H17" i="49"/>
  <c r="L14" i="49"/>
  <c r="J8" i="51" l="1"/>
  <c r="H8" i="10"/>
  <c r="H8" i="9"/>
  <c r="H17" i="9"/>
  <c r="L14" i="11"/>
  <c r="H8" i="11"/>
  <c r="H14" i="49"/>
  <c r="AA6" i="1"/>
  <c r="H11" i="10"/>
  <c r="H14" i="10"/>
  <c r="AH6" i="1"/>
  <c r="Y6" i="1" l="1"/>
  <c r="H14" i="9"/>
  <c r="H20" i="11"/>
  <c r="H11" i="11"/>
  <c r="H11" i="9"/>
  <c r="H17" i="10"/>
  <c r="J8" i="10" s="1"/>
  <c r="H11" i="49"/>
  <c r="H17" i="11"/>
  <c r="H14" i="11"/>
  <c r="AE6" i="1"/>
  <c r="J8" i="9" l="1"/>
  <c r="J8" i="11"/>
  <c r="U25" i="2"/>
  <c r="O86" i="2"/>
  <c r="N86" i="2"/>
  <c r="M86" i="2"/>
  <c r="G66" i="2"/>
  <c r="G65" i="2"/>
  <c r="E65" i="2"/>
  <c r="G64" i="2"/>
  <c r="E64" i="2"/>
  <c r="O57" i="2"/>
  <c r="N57" i="2"/>
  <c r="U22" i="2"/>
  <c r="M50" i="2"/>
  <c r="M49" i="2"/>
  <c r="M48" i="2"/>
  <c r="M47" i="2"/>
  <c r="O29" i="2"/>
  <c r="N29" i="2"/>
  <c r="M20" i="2"/>
  <c r="M19" i="2"/>
  <c r="T52" i="2" l="1"/>
  <c r="T54" i="2"/>
  <c r="T51" i="2"/>
  <c r="H17" i="52"/>
  <c r="J8" i="52" s="1"/>
  <c r="E57" i="2"/>
  <c r="E86" i="2"/>
  <c r="E63" i="2"/>
  <c r="E72" i="2" s="1"/>
  <c r="G86" i="2"/>
  <c r="G63" i="2"/>
  <c r="G72" i="2" s="1"/>
  <c r="M29" i="2"/>
  <c r="M57" i="2"/>
  <c r="H14" i="51" l="1"/>
  <c r="H20" i="56"/>
  <c r="J8" i="56" s="1"/>
  <c r="N49" i="1"/>
  <c r="N64" i="1"/>
  <c r="N39" i="1"/>
  <c r="N38" i="1"/>
  <c r="N37" i="1"/>
  <c r="N76" i="1"/>
  <c r="N32" i="1"/>
  <c r="N60" i="1"/>
  <c r="N36" i="1"/>
  <c r="N47" i="1"/>
  <c r="N10" i="1"/>
  <c r="N56" i="1"/>
  <c r="N13" i="1"/>
  <c r="N40" i="1"/>
  <c r="N57" i="1"/>
  <c r="L14" i="68" s="1"/>
  <c r="N19" i="1"/>
  <c r="N72" i="1"/>
  <c r="N41" i="1"/>
  <c r="N44" i="1"/>
  <c r="N24" i="1"/>
  <c r="N11" i="1"/>
  <c r="N8" i="1"/>
  <c r="N18" i="1"/>
  <c r="N74" i="1"/>
  <c r="N34" i="1"/>
  <c r="N27" i="1"/>
  <c r="N21" i="1"/>
  <c r="N59" i="1"/>
  <c r="N15" i="1"/>
  <c r="N12" i="1"/>
  <c r="C60" i="1"/>
  <c r="N48" i="1"/>
  <c r="N82" i="1"/>
  <c r="N71" i="1"/>
  <c r="N17" i="1"/>
  <c r="N58" i="1"/>
  <c r="H14" i="29"/>
  <c r="H17" i="29"/>
  <c r="N80" i="1"/>
  <c r="N45" i="1"/>
  <c r="N67" i="1"/>
  <c r="N30" i="1"/>
  <c r="N51" i="1"/>
  <c r="N23" i="1"/>
  <c r="N53" i="1"/>
  <c r="N81" i="1"/>
  <c r="N25" i="1"/>
  <c r="H14" i="32" l="1"/>
  <c r="H8" i="32"/>
  <c r="H17" i="32"/>
  <c r="L14" i="67"/>
  <c r="O23" i="1"/>
  <c r="O81" i="1"/>
  <c r="O45" i="1"/>
  <c r="O15" i="1"/>
  <c r="H20" i="23"/>
  <c r="O18" i="1"/>
  <c r="O51" i="1"/>
  <c r="O80" i="1"/>
  <c r="O24" i="1"/>
  <c r="C25" i="1"/>
  <c r="K25" i="1" s="1"/>
  <c r="C58" i="1"/>
  <c r="C72" i="1"/>
  <c r="P72" i="1" s="1"/>
  <c r="O11" i="1"/>
  <c r="C76" i="1"/>
  <c r="O76" i="1"/>
  <c r="C49" i="1"/>
  <c r="L14" i="31"/>
  <c r="C67" i="1"/>
  <c r="O17" i="1"/>
  <c r="O19" i="1"/>
  <c r="O47" i="1"/>
  <c r="O10" i="1"/>
  <c r="H20" i="55"/>
  <c r="L14" i="41"/>
  <c r="O39" i="1"/>
  <c r="C51" i="1"/>
  <c r="K51" i="1" s="1"/>
  <c r="L14" i="16"/>
  <c r="L14" i="37"/>
  <c r="C81" i="1"/>
  <c r="C59" i="1"/>
  <c r="P59" i="1" s="1"/>
  <c r="O48" i="1"/>
  <c r="L14" i="32"/>
  <c r="O53" i="1"/>
  <c r="O43" i="1"/>
  <c r="C45" i="1"/>
  <c r="O64" i="1"/>
  <c r="L14" i="15"/>
  <c r="O59" i="1"/>
  <c r="C39" i="1"/>
  <c r="E39" i="1" s="1"/>
  <c r="C48" i="1"/>
  <c r="K48" i="1" s="1"/>
  <c r="L14" i="17"/>
  <c r="O21" i="1"/>
  <c r="C38" i="1"/>
  <c r="E38" i="1" s="1"/>
  <c r="L14" i="26"/>
  <c r="O27" i="1"/>
  <c r="O44" i="1"/>
  <c r="O57" i="1"/>
  <c r="O37" i="1"/>
  <c r="C80" i="1"/>
  <c r="C12" i="1"/>
  <c r="K12" i="1" s="1"/>
  <c r="C32" i="1"/>
  <c r="G32" i="1" s="1"/>
  <c r="O34" i="1"/>
  <c r="O40" i="1"/>
  <c r="O36" i="1"/>
  <c r="L14" i="33"/>
  <c r="L14" i="60"/>
  <c r="O82" i="1"/>
  <c r="O41" i="1"/>
  <c r="O13" i="1"/>
  <c r="O25" i="1"/>
  <c r="L14" i="24"/>
  <c r="L14" i="36"/>
  <c r="C24" i="1"/>
  <c r="O72" i="1"/>
  <c r="O56" i="1"/>
  <c r="H11" i="29"/>
  <c r="H20" i="16"/>
  <c r="C30" i="1"/>
  <c r="C71" i="1"/>
  <c r="L14" i="29"/>
  <c r="O38" i="1"/>
  <c r="O49" i="1"/>
  <c r="C74" i="1"/>
  <c r="C34" i="1"/>
  <c r="C37" i="1"/>
  <c r="E37" i="1" s="1"/>
  <c r="O74" i="1"/>
  <c r="O8" i="1"/>
  <c r="L14" i="23"/>
  <c r="C43" i="1"/>
  <c r="C82" i="1"/>
  <c r="C40" i="1"/>
  <c r="C11" i="1"/>
  <c r="K11" i="1" s="1"/>
  <c r="C57" i="1"/>
  <c r="C36" i="1"/>
  <c r="G36" i="1" s="1"/>
  <c r="C15" i="1"/>
  <c r="K15" i="1" s="1"/>
  <c r="C10" i="1"/>
  <c r="L14" i="39"/>
  <c r="L14" i="58"/>
  <c r="O60" i="1"/>
  <c r="O32" i="1"/>
  <c r="O30" i="1"/>
  <c r="O67" i="1"/>
  <c r="O58" i="1"/>
  <c r="O71" i="1"/>
  <c r="C53" i="1"/>
  <c r="C21" i="1"/>
  <c r="I21" i="1" s="1"/>
  <c r="C64" i="1"/>
  <c r="P64" i="1" s="1"/>
  <c r="O12" i="1"/>
  <c r="C23" i="1"/>
  <c r="H11" i="32"/>
  <c r="C44" i="1"/>
  <c r="K44" i="1" s="1"/>
  <c r="C18" i="1"/>
  <c r="C47" i="1"/>
  <c r="I47" i="1" s="1"/>
  <c r="C27" i="1"/>
  <c r="C13" i="1"/>
  <c r="C56" i="1"/>
  <c r="P56" i="1" s="1"/>
  <c r="C19" i="1"/>
  <c r="C8" i="1"/>
  <c r="L14" i="55"/>
  <c r="G10" i="1" l="1"/>
  <c r="K10" i="1"/>
  <c r="E13" i="1"/>
  <c r="K13" i="1"/>
  <c r="K40" i="1"/>
  <c r="I40" i="1"/>
  <c r="E40" i="1"/>
  <c r="G40" i="1"/>
  <c r="G18" i="1"/>
  <c r="I18" i="1"/>
  <c r="E18" i="1"/>
  <c r="E51" i="1"/>
  <c r="H17" i="13"/>
  <c r="G53" i="1"/>
  <c r="H14" i="33" s="1"/>
  <c r="E53" i="1"/>
  <c r="I53" i="1"/>
  <c r="H17" i="33" s="1"/>
  <c r="G47" i="1"/>
  <c r="E47" i="1"/>
  <c r="I37" i="1"/>
  <c r="G37" i="1"/>
  <c r="I34" i="1"/>
  <c r="E34" i="1"/>
  <c r="G34" i="1"/>
  <c r="I39" i="1"/>
  <c r="G39" i="1"/>
  <c r="G15" i="1"/>
  <c r="E15" i="1"/>
  <c r="E32" i="1"/>
  <c r="I32" i="1"/>
  <c r="H17" i="17" s="1"/>
  <c r="I80" i="1"/>
  <c r="H17" i="36" s="1"/>
  <c r="G80" i="1"/>
  <c r="H14" i="36" s="1"/>
  <c r="E80" i="1"/>
  <c r="G43" i="1"/>
  <c r="I43" i="1"/>
  <c r="E43" i="1"/>
  <c r="H11" i="15" s="1"/>
  <c r="E49" i="1"/>
  <c r="I49" i="1"/>
  <c r="G49" i="1"/>
  <c r="G8" i="1"/>
  <c r="E8" i="1"/>
  <c r="K8" i="1"/>
  <c r="E19" i="1"/>
  <c r="I19" i="1"/>
  <c r="G19" i="1"/>
  <c r="E10" i="1"/>
  <c r="I24" i="1"/>
  <c r="E24" i="1"/>
  <c r="G24" i="1"/>
  <c r="G48" i="1"/>
  <c r="E48" i="1"/>
  <c r="I48" i="1"/>
  <c r="H17" i="41" s="1"/>
  <c r="I51" i="1"/>
  <c r="H17" i="58" s="1"/>
  <c r="G51" i="1"/>
  <c r="H14" i="58" s="1"/>
  <c r="G76" i="1"/>
  <c r="I76" i="1"/>
  <c r="I38" i="1"/>
  <c r="G38" i="1"/>
  <c r="G12" i="1"/>
  <c r="E12" i="1"/>
  <c r="H11" i="67" s="1"/>
  <c r="I36" i="1"/>
  <c r="E36" i="1"/>
  <c r="E27" i="1"/>
  <c r="I27" i="1"/>
  <c r="G27" i="1"/>
  <c r="K57" i="1"/>
  <c r="E57" i="1"/>
  <c r="G13" i="1"/>
  <c r="G45" i="1"/>
  <c r="H14" i="16" s="1"/>
  <c r="E45" i="1"/>
  <c r="I45" i="1"/>
  <c r="H17" i="16" s="1"/>
  <c r="G11" i="1"/>
  <c r="E11" i="1"/>
  <c r="I25" i="1"/>
  <c r="H17" i="39" s="1"/>
  <c r="E25" i="1"/>
  <c r="G25" i="1"/>
  <c r="H14" i="39" s="1"/>
  <c r="G23" i="1"/>
  <c r="I23" i="1"/>
  <c r="H17" i="60" s="1"/>
  <c r="E23" i="1"/>
  <c r="G81" i="1"/>
  <c r="E81" i="1"/>
  <c r="I81" i="1"/>
  <c r="E21" i="1"/>
  <c r="G21" i="1"/>
  <c r="E44" i="1"/>
  <c r="I44" i="1"/>
  <c r="G44" i="1"/>
  <c r="G82" i="1"/>
  <c r="I82" i="1"/>
  <c r="H17" i="24" s="1"/>
  <c r="E82" i="1"/>
  <c r="G30" i="1"/>
  <c r="H14" i="31" s="1"/>
  <c r="E30" i="1"/>
  <c r="H11" i="31" s="1"/>
  <c r="I30" i="1"/>
  <c r="H17" i="31" s="1"/>
  <c r="P60" i="1"/>
  <c r="H11" i="26"/>
  <c r="H14" i="25"/>
  <c r="P58" i="1"/>
  <c r="H8" i="29"/>
  <c r="P67" i="1"/>
  <c r="H8" i="33"/>
  <c r="L14" i="13"/>
  <c r="H8" i="25"/>
  <c r="H23" i="13"/>
  <c r="H8" i="13"/>
  <c r="H8" i="68"/>
  <c r="H8" i="18"/>
  <c r="H8" i="58"/>
  <c r="L14" i="27"/>
  <c r="H20" i="68"/>
  <c r="L16" i="68"/>
  <c r="H8" i="67"/>
  <c r="H20" i="58"/>
  <c r="L16" i="58"/>
  <c r="H20" i="67"/>
  <c r="L16" i="67"/>
  <c r="H20" i="24"/>
  <c r="L16" i="24"/>
  <c r="H20" i="41"/>
  <c r="L16" i="41"/>
  <c r="H23" i="16"/>
  <c r="L16" i="16"/>
  <c r="H20" i="15"/>
  <c r="L16" i="15"/>
  <c r="H20" i="27"/>
  <c r="L16" i="27"/>
  <c r="H20" i="26"/>
  <c r="L16" i="26"/>
  <c r="H20" i="29"/>
  <c r="L16" i="29"/>
  <c r="H20" i="39"/>
  <c r="L16" i="39"/>
  <c r="H20" i="33"/>
  <c r="L16" i="33"/>
  <c r="H20" i="37"/>
  <c r="L16" i="37"/>
  <c r="H20" i="60"/>
  <c r="L16" i="60"/>
  <c r="L16" i="25"/>
  <c r="L16" i="18"/>
  <c r="H20" i="31"/>
  <c r="L16" i="31"/>
  <c r="H20" i="17"/>
  <c r="L16" i="17"/>
  <c r="H20" i="32"/>
  <c r="L16" i="32"/>
  <c r="H20" i="36"/>
  <c r="L16" i="36"/>
  <c r="H8" i="16"/>
  <c r="H8" i="37"/>
  <c r="H17" i="37"/>
  <c r="H8" i="60"/>
  <c r="H8" i="27"/>
  <c r="H8" i="41"/>
  <c r="H11" i="23"/>
  <c r="H8" i="55"/>
  <c r="H11" i="25"/>
  <c r="H17" i="25"/>
  <c r="H8" i="39"/>
  <c r="H14" i="23"/>
  <c r="H8" i="36"/>
  <c r="H14" i="55"/>
  <c r="H17" i="55"/>
  <c r="H17" i="23"/>
  <c r="H14" i="37"/>
  <c r="H8" i="23"/>
  <c r="H14" i="17"/>
  <c r="H8" i="17"/>
  <c r="L6" i="1"/>
  <c r="H8" i="24"/>
  <c r="AK6" i="1"/>
  <c r="H8" i="15"/>
  <c r="O6" i="1"/>
  <c r="P74" i="1"/>
  <c r="H17" i="26"/>
  <c r="H8" i="26"/>
  <c r="L14" i="18"/>
  <c r="L14" i="25"/>
  <c r="H20" i="25"/>
  <c r="H20" i="18"/>
  <c r="H8" i="31"/>
  <c r="P71" i="1"/>
  <c r="H14" i="68"/>
  <c r="P13" i="1" l="1"/>
  <c r="P17" i="1"/>
  <c r="P48" i="1"/>
  <c r="P40" i="1"/>
  <c r="P76" i="1"/>
  <c r="P36" i="1"/>
  <c r="P39" i="1"/>
  <c r="P27" i="1"/>
  <c r="P8" i="1"/>
  <c r="P11" i="1"/>
  <c r="P45" i="1"/>
  <c r="J8" i="13" s="1"/>
  <c r="P15" i="1"/>
  <c r="P57" i="1"/>
  <c r="J8" i="68" s="1"/>
  <c r="P49" i="1"/>
  <c r="P24" i="1"/>
  <c r="P47" i="1"/>
  <c r="P37" i="1"/>
  <c r="P10" i="1"/>
  <c r="P18" i="1"/>
  <c r="P19" i="1"/>
  <c r="P51" i="1"/>
  <c r="P53" i="1"/>
  <c r="P43" i="1"/>
  <c r="P30" i="1"/>
  <c r="P34" i="1"/>
  <c r="P38" i="1"/>
  <c r="P32" i="1"/>
  <c r="P82" i="1"/>
  <c r="P80" i="1"/>
  <c r="P21" i="1"/>
  <c r="P44" i="1"/>
  <c r="P81" i="1"/>
  <c r="P12" i="1"/>
  <c r="P23" i="1"/>
  <c r="H14" i="18"/>
  <c r="P25" i="1"/>
  <c r="H11" i="33"/>
  <c r="J8" i="33" s="1"/>
  <c r="H11" i="13"/>
  <c r="H14" i="67"/>
  <c r="H17" i="15"/>
  <c r="H20" i="13"/>
  <c r="H14" i="27"/>
  <c r="H14" i="13"/>
  <c r="H17" i="27"/>
  <c r="K6" i="1"/>
  <c r="H17" i="18"/>
  <c r="J8" i="29"/>
  <c r="H11" i="60"/>
  <c r="H11" i="16"/>
  <c r="J8" i="16" s="1"/>
  <c r="H11" i="58"/>
  <c r="J8" i="58" s="1"/>
  <c r="H11" i="27"/>
  <c r="H11" i="36"/>
  <c r="J8" i="36" s="1"/>
  <c r="H11" i="41"/>
  <c r="H11" i="18"/>
  <c r="H11" i="39"/>
  <c r="J8" i="39" s="1"/>
  <c r="H11" i="17"/>
  <c r="J8" i="17" s="1"/>
  <c r="H11" i="68"/>
  <c r="H11" i="24"/>
  <c r="J8" i="32"/>
  <c r="J8" i="23"/>
  <c r="H11" i="55"/>
  <c r="J8" i="55" s="1"/>
  <c r="H11" i="37"/>
  <c r="J8" i="37" s="1"/>
  <c r="H14" i="41"/>
  <c r="J8" i="18"/>
  <c r="J8" i="31"/>
  <c r="I6" i="1"/>
  <c r="H14" i="24"/>
  <c r="J8" i="25"/>
  <c r="G6" i="1"/>
  <c r="H14" i="60"/>
  <c r="H14" i="15"/>
  <c r="E6" i="1"/>
  <c r="H14" i="26"/>
  <c r="J8" i="26" s="1"/>
  <c r="J8" i="27" l="1"/>
  <c r="J8" i="60"/>
  <c r="J8" i="15"/>
  <c r="J8" i="24"/>
  <c r="J8" i="41"/>
  <c r="P6" i="1"/>
  <c r="AJ18" i="1" l="1"/>
  <c r="AJ24" i="1" s="1"/>
  <c r="AK24" i="1" s="1"/>
  <c r="AJ17" i="1"/>
  <c r="AJ9" i="1" l="1"/>
  <c r="AK9" i="1" s="1"/>
  <c r="AL9" i="1" s="1"/>
  <c r="AJ10" i="1"/>
  <c r="AK10" i="1" s="1"/>
  <c r="AL10" i="1" s="1"/>
  <c r="AK17" i="1"/>
  <c r="AJ27" i="1"/>
  <c r="AK27" i="1" s="1"/>
  <c r="AL27" i="1" s="1"/>
  <c r="AL24" i="1"/>
  <c r="AK18" i="1"/>
  <c r="AL18" i="1" s="1"/>
  <c r="H20" i="49" l="1"/>
  <c r="J8" i="49" s="1"/>
  <c r="H21" i="8"/>
  <c r="J8" i="8" s="1"/>
  <c r="AL17" i="1"/>
  <c r="AL6" i="1" s="1"/>
</calcChain>
</file>

<file path=xl/sharedStrings.xml><?xml version="1.0" encoding="utf-8"?>
<sst xmlns="http://schemas.openxmlformats.org/spreadsheetml/2006/main" count="8247" uniqueCount="725">
  <si>
    <t>S&amp;V</t>
  </si>
  <si>
    <t>Marca do Mês MA</t>
  </si>
  <si>
    <t>Marca do Mês PA</t>
  </si>
  <si>
    <t>Avine</t>
  </si>
  <si>
    <t>Mês</t>
  </si>
  <si>
    <t>Promotor</t>
  </si>
  <si>
    <t>% Avi</t>
  </si>
  <si>
    <t>R$ Avi</t>
  </si>
  <si>
    <t>% Capp</t>
  </si>
  <si>
    <t>R$ Capp</t>
  </si>
  <si>
    <t>% Fam</t>
  </si>
  <si>
    <t>R$ Fam</t>
  </si>
  <si>
    <t>% S&amp;V</t>
  </si>
  <si>
    <t>R$ S&amp;V</t>
  </si>
  <si>
    <t>Master</t>
  </si>
  <si>
    <t>% Dev</t>
  </si>
  <si>
    <t>R$ Dev</t>
  </si>
  <si>
    <t>Total</t>
  </si>
  <si>
    <t>% Master</t>
  </si>
  <si>
    <t>Gestor</t>
  </si>
  <si>
    <t>Dhennyfer</t>
  </si>
  <si>
    <t>Sandra</t>
  </si>
  <si>
    <t xml:space="preserve">Promotor </t>
  </si>
  <si>
    <t>BASE:</t>
  </si>
  <si>
    <t>A+</t>
  </si>
  <si>
    <t>Coordenador</t>
  </si>
  <si>
    <t>A+ | Venda &gt; 1.750.000</t>
  </si>
  <si>
    <t>PROMOTORIA</t>
  </si>
  <si>
    <t>RESUMO DE NÍVEIS</t>
  </si>
  <si>
    <t>COORDENAÇÃO</t>
  </si>
  <si>
    <t>Regras:</t>
  </si>
  <si>
    <t>Objetivo</t>
  </si>
  <si>
    <t>NÍVEL</t>
  </si>
  <si>
    <t>1º</t>
  </si>
  <si>
    <t>Chegar na Meta Sell-Out</t>
  </si>
  <si>
    <t>A:</t>
  </si>
  <si>
    <t>Atingimento Total Master</t>
  </si>
  <si>
    <t>A</t>
  </si>
  <si>
    <t>B:</t>
  </si>
  <si>
    <t>Atingimento Individual Avine</t>
  </si>
  <si>
    <t>B</t>
  </si>
  <si>
    <t>C:</t>
  </si>
  <si>
    <t>Atingimento Individual Capp</t>
  </si>
  <si>
    <t>C</t>
  </si>
  <si>
    <t>D:</t>
  </si>
  <si>
    <t>Atingimento Individual Famosa</t>
  </si>
  <si>
    <t>Devolução &lt;= 1%</t>
  </si>
  <si>
    <t>Devolução &lt; 1%</t>
  </si>
  <si>
    <t>Premiação Master</t>
  </si>
  <si>
    <t>Avaliação Gestor</t>
  </si>
  <si>
    <t>E:</t>
  </si>
  <si>
    <t>Atingimento Individual S&amp;V</t>
  </si>
  <si>
    <t>Avaliação</t>
  </si>
  <si>
    <t>Total ( Incluindo a marca do Mês)</t>
  </si>
  <si>
    <t>A | Venda &gt; 260.000</t>
  </si>
  <si>
    <t>A | Venda &gt; 1.000.000</t>
  </si>
  <si>
    <t>B | Venda &lt; 1.000.000</t>
  </si>
  <si>
    <t>C | Venda &lt; 200.000</t>
  </si>
  <si>
    <t>Nível</t>
  </si>
  <si>
    <t>ALBERTO</t>
  </si>
  <si>
    <t>ALEXANDRE</t>
  </si>
  <si>
    <t>ALINE FREITAS</t>
  </si>
  <si>
    <t>AMANDA</t>
  </si>
  <si>
    <t>ANDRESSA</t>
  </si>
  <si>
    <t>ANDRESSA NEVES</t>
  </si>
  <si>
    <t>ANGELA</t>
  </si>
  <si>
    <t>BEATRIZ</t>
  </si>
  <si>
    <t>CLARICELENE</t>
  </si>
  <si>
    <t>CLEANE</t>
  </si>
  <si>
    <t>CRISTIANE</t>
  </si>
  <si>
    <t>DOMINGAS</t>
  </si>
  <si>
    <t>ELENILDE</t>
  </si>
  <si>
    <t>ÉRICA</t>
  </si>
  <si>
    <t>FRANCINILDE</t>
  </si>
  <si>
    <t>KELSIANE</t>
  </si>
  <si>
    <t>MAGDA</t>
  </si>
  <si>
    <t>MAILANE</t>
  </si>
  <si>
    <t>MARAILDES</t>
  </si>
  <si>
    <t>MARIA</t>
  </si>
  <si>
    <t>MARÍLIA</t>
  </si>
  <si>
    <t>MISSILENE</t>
  </si>
  <si>
    <t>PAT. MARIA</t>
  </si>
  <si>
    <t>PAT. REGINA</t>
  </si>
  <si>
    <t>RARIEL</t>
  </si>
  <si>
    <t>RAYARA</t>
  </si>
  <si>
    <t>RENAN</t>
  </si>
  <si>
    <t>ROSICLEIA</t>
  </si>
  <si>
    <t>SAMIA</t>
  </si>
  <si>
    <t>SUELY</t>
  </si>
  <si>
    <t>TAVILA</t>
  </si>
  <si>
    <t>VAGO</t>
  </si>
  <si>
    <t>YRLANA</t>
  </si>
  <si>
    <t>Cappellaro</t>
  </si>
  <si>
    <t>Famosa</t>
  </si>
  <si>
    <t>Sell Out</t>
  </si>
  <si>
    <t>Cod Avi</t>
  </si>
  <si>
    <t>COD</t>
  </si>
  <si>
    <t>LOJA</t>
  </si>
  <si>
    <t>Nome Loja</t>
  </si>
  <si>
    <t>PROMOTOR</t>
  </si>
  <si>
    <t>REGIONAL</t>
  </si>
  <si>
    <t>MAT. COHAMA</t>
  </si>
  <si>
    <t>Cohama</t>
  </si>
  <si>
    <t>São Luís</t>
  </si>
  <si>
    <t>EDINALDO</t>
  </si>
  <si>
    <t>MAT. CALHAU2</t>
  </si>
  <si>
    <t>Calhau</t>
  </si>
  <si>
    <t>MAT. CURVA90</t>
  </si>
  <si>
    <t>Curva do 90</t>
  </si>
  <si>
    <t>CARLA</t>
  </si>
  <si>
    <t>MAT JARDIM R</t>
  </si>
  <si>
    <t>Renascença</t>
  </si>
  <si>
    <t>MAT ARAÇAGI</t>
  </si>
  <si>
    <t>Araçagi</t>
  </si>
  <si>
    <t>MAT. S. INES</t>
  </si>
  <si>
    <t>Sup Santa Inês</t>
  </si>
  <si>
    <t>MA Norte</t>
  </si>
  <si>
    <t>MAT TIMON</t>
  </si>
  <si>
    <t>Mix Timon</t>
  </si>
  <si>
    <t>Piauí</t>
  </si>
  <si>
    <t>WELESSANDRA</t>
  </si>
  <si>
    <t>MAT CHAPA</t>
  </si>
  <si>
    <t>Chapadinha</t>
  </si>
  <si>
    <t>ALINE</t>
  </si>
  <si>
    <t>CAXIAS</t>
  </si>
  <si>
    <t>Caxias</t>
  </si>
  <si>
    <t>Pres Dutra</t>
  </si>
  <si>
    <t>Presidente Dutra</t>
  </si>
  <si>
    <t>RAYNARA</t>
  </si>
  <si>
    <t>MAT BACABAL</t>
  </si>
  <si>
    <t>Bacabal</t>
  </si>
  <si>
    <t>MAT MIX PEDR</t>
  </si>
  <si>
    <t>Mix Pedreiras</t>
  </si>
  <si>
    <t>MAT ST I MIX</t>
  </si>
  <si>
    <t>Mix Santa Inês</t>
  </si>
  <si>
    <t>MAT MIX PINH</t>
  </si>
  <si>
    <t>Mix Pinheiro</t>
  </si>
  <si>
    <t>MAT CODO</t>
  </si>
  <si>
    <t>Codó</t>
  </si>
  <si>
    <t>Parnaiba</t>
  </si>
  <si>
    <t>Parnaíba</t>
  </si>
  <si>
    <t>TERESINA</t>
  </si>
  <si>
    <t>Teresina</t>
  </si>
  <si>
    <t>CAMINO ROSARIO</t>
  </si>
  <si>
    <t>Camino Rosário</t>
  </si>
  <si>
    <t>CAMINO ARARI</t>
  </si>
  <si>
    <t>Camino Arari</t>
  </si>
  <si>
    <t>RUANNA SUPER</t>
  </si>
  <si>
    <t>Ruanna Super</t>
  </si>
  <si>
    <t>CAMINO STA RITA</t>
  </si>
  <si>
    <t>Camino Santa Rita</t>
  </si>
  <si>
    <t>C. LAGO DA PEDRA</t>
  </si>
  <si>
    <t>Camino Lago da Pedra</t>
  </si>
  <si>
    <t>CAMINO VIANA</t>
  </si>
  <si>
    <t>Camino Viana</t>
  </si>
  <si>
    <t>Camino Barreirinhas</t>
  </si>
  <si>
    <t>CAMINO COROATA</t>
  </si>
  <si>
    <t>Camino Coroatá</t>
  </si>
  <si>
    <t>CAMINO MIRANDA</t>
  </si>
  <si>
    <t>Camino Miranda</t>
  </si>
  <si>
    <t>CAMINO ITAPECURU</t>
  </si>
  <si>
    <t>Camino Itapecuru</t>
  </si>
  <si>
    <t>Camino Tutoia</t>
  </si>
  <si>
    <t>Camino Tutóia</t>
  </si>
  <si>
    <t>Camino Vitorino Freire</t>
  </si>
  <si>
    <t>MAT. COHAB</t>
  </si>
  <si>
    <t>Cohab</t>
  </si>
  <si>
    <t>MAT. TURU</t>
  </si>
  <si>
    <t>Turuzinho</t>
  </si>
  <si>
    <t>MAT. CIDAD O</t>
  </si>
  <si>
    <t>Cidade Operária</t>
  </si>
  <si>
    <t>MAT.RIO ANIL</t>
  </si>
  <si>
    <t>Rio Anil</t>
  </si>
  <si>
    <t>MAT. GUAJAJ</t>
  </si>
  <si>
    <t>Tirirical</t>
  </si>
  <si>
    <t>MATEUS COHAT</t>
  </si>
  <si>
    <t>Cohatrac</t>
  </si>
  <si>
    <t>MAT. SHOP 90</t>
  </si>
  <si>
    <t>Shop da Ilha</t>
  </si>
  <si>
    <t>MAT CAJAZEIR</t>
  </si>
  <si>
    <t>Cajazeiras</t>
  </si>
  <si>
    <t>MAT SUP TURU</t>
  </si>
  <si>
    <t>Super Turu</t>
  </si>
  <si>
    <t>MAT MIX TROP</t>
  </si>
  <si>
    <t>Mix Tropical</t>
  </si>
  <si>
    <t>MAT BACANGA</t>
  </si>
  <si>
    <t>Bacanga</t>
  </si>
  <si>
    <t>MAT PATIO</t>
  </si>
  <si>
    <t>Patio Norte</t>
  </si>
  <si>
    <t>MATEUS MAIOB</t>
  </si>
  <si>
    <t>Maiobão</t>
  </si>
  <si>
    <t>MAT. JOAO PA</t>
  </si>
  <si>
    <t>João Paulo</t>
  </si>
  <si>
    <t>SUPER ANIL</t>
  </si>
  <si>
    <t>Super Anil</t>
  </si>
  <si>
    <t>Super Cohatrac</t>
  </si>
  <si>
    <t>BOM B.132</t>
  </si>
  <si>
    <t>Bom Preço 132</t>
  </si>
  <si>
    <t>BOM B.134</t>
  </si>
  <si>
    <t>Bom Preço 134</t>
  </si>
  <si>
    <t>FORQUILHA</t>
  </si>
  <si>
    <t>Forquilha</t>
  </si>
  <si>
    <t>CARONE ANJO</t>
  </si>
  <si>
    <t>Carone Anjo</t>
  </si>
  <si>
    <t>CARONE MAIOB</t>
  </si>
  <si>
    <t>Carone Maiobão</t>
  </si>
  <si>
    <t>CARONE S.CRI</t>
  </si>
  <si>
    <t>Carone São Crist</t>
  </si>
  <si>
    <t>CARONE NOVO</t>
  </si>
  <si>
    <t>Carone Ma Novo</t>
  </si>
  <si>
    <t>CARONE TURU</t>
  </si>
  <si>
    <t>Carone Itapiracó</t>
  </si>
  <si>
    <t>POSTERUS 01</t>
  </si>
  <si>
    <t>Camino São Bernardo</t>
  </si>
  <si>
    <t>POSTERUS 04</t>
  </si>
  <si>
    <t>Camino Divinéia</t>
  </si>
  <si>
    <t>POSTERUS 08</t>
  </si>
  <si>
    <t>Camino Ribamar</t>
  </si>
  <si>
    <t>BOM B.140</t>
  </si>
  <si>
    <t>Bom Preço 140</t>
  </si>
  <si>
    <t>Mat Hiper Balsas</t>
  </si>
  <si>
    <t>Hiper Balsas</t>
  </si>
  <si>
    <t>MA Sul</t>
  </si>
  <si>
    <t>THIEUDE</t>
  </si>
  <si>
    <t>MAT. I. CE</t>
  </si>
  <si>
    <t>Ceará</t>
  </si>
  <si>
    <t>MAT. I. GOIA</t>
  </si>
  <si>
    <t>Goiás</t>
  </si>
  <si>
    <t>MAT. ACAILAN</t>
  </si>
  <si>
    <t>Sup Açailândia</t>
  </si>
  <si>
    <t>Babaçulândia</t>
  </si>
  <si>
    <t>Mix Açailandia</t>
  </si>
  <si>
    <t>Mix Açailândia</t>
  </si>
  <si>
    <t>MATEUS BAC 2</t>
  </si>
  <si>
    <t>Bacuri</t>
  </si>
  <si>
    <t>Mix Balsas</t>
  </si>
  <si>
    <t>MATEUS RODOV</t>
  </si>
  <si>
    <t>Tamandaré</t>
  </si>
  <si>
    <t xml:space="preserve"> CAMINO ESTREITO</t>
  </si>
  <si>
    <t>Camino Estreito</t>
  </si>
  <si>
    <t>CAMINO CAROLINA</t>
  </si>
  <si>
    <t>Camino Carolina</t>
  </si>
  <si>
    <t>CAMINO GRAJAU</t>
  </si>
  <si>
    <t>Camino Grajaú</t>
  </si>
  <si>
    <t>MAT CASTANHA</t>
  </si>
  <si>
    <t>Sup Castanhal</t>
  </si>
  <si>
    <t>Pará Norte</t>
  </si>
  <si>
    <t>MAT ANANINDE</t>
  </si>
  <si>
    <t>Jaderlândia</t>
  </si>
  <si>
    <t>MAT BELEM</t>
  </si>
  <si>
    <t>Mix Belém</t>
  </si>
  <si>
    <t>Altamira</t>
  </si>
  <si>
    <t>MATEUS MARAN</t>
  </si>
  <si>
    <t>Marambaia</t>
  </si>
  <si>
    <t>MAT MAGUARI</t>
  </si>
  <si>
    <t>Maguari</t>
  </si>
  <si>
    <t>MAT CAST MIX</t>
  </si>
  <si>
    <t>Mix Castanhal</t>
  </si>
  <si>
    <t>Abaetetuba</t>
  </si>
  <si>
    <t>Pará Sul</t>
  </si>
  <si>
    <t>MARITUBA</t>
  </si>
  <si>
    <t>Marituba</t>
  </si>
  <si>
    <t>MATEUS TAILANDIA</t>
  </si>
  <si>
    <t>Tailandia</t>
  </si>
  <si>
    <t>Pedreira</t>
  </si>
  <si>
    <t>MATEUS COQUEIRO</t>
  </si>
  <si>
    <t>Coqueiro</t>
  </si>
  <si>
    <t>CAMINO JACUNDA</t>
  </si>
  <si>
    <t>Camino Jacunda</t>
  </si>
  <si>
    <t>CAMINO TUCUMA</t>
  </si>
  <si>
    <t>Camino Tucumã</t>
  </si>
  <si>
    <t xml:space="preserve"> CAMINO CARCARA</t>
  </si>
  <si>
    <t>Camino Carcará</t>
  </si>
  <si>
    <t>Marabá</t>
  </si>
  <si>
    <t>Nova Marabá</t>
  </si>
  <si>
    <t>Mix Marabá</t>
  </si>
  <si>
    <t>Parauapebas</t>
  </si>
  <si>
    <t>MATEUS CARAJAS</t>
  </si>
  <si>
    <t>Carajás</t>
  </si>
  <si>
    <t>CAMINO SÃO FELIX</t>
  </si>
  <si>
    <t>Camino São Feliz</t>
  </si>
  <si>
    <t>CAMINO RONDON</t>
  </si>
  <si>
    <t>Camino Rondon</t>
  </si>
  <si>
    <t>CAMINO ARARAGUAIA</t>
  </si>
  <si>
    <t>Camino Araraguaia</t>
  </si>
  <si>
    <t>Ceasa Teresina</t>
  </si>
  <si>
    <t>Mateus Capanema</t>
  </si>
  <si>
    <t>Capanema</t>
  </si>
  <si>
    <t>Barra do Corda</t>
  </si>
  <si>
    <t>BARCARENA</t>
  </si>
  <si>
    <t>Barcarena</t>
  </si>
  <si>
    <t>Camino Itupiranga</t>
  </si>
  <si>
    <t>Camino Vargem Grande</t>
  </si>
  <si>
    <t>Mix Redenção</t>
  </si>
  <si>
    <t>NAZARÉ</t>
  </si>
  <si>
    <t>Camino Ze Doca</t>
  </si>
  <si>
    <t>Camino Santa Luzia</t>
  </si>
  <si>
    <t>CD</t>
  </si>
  <si>
    <t>CD 87</t>
  </si>
  <si>
    <t>CLEISSE</t>
  </si>
  <si>
    <t>Buriticupu</t>
  </si>
  <si>
    <t>Camino Goianesia</t>
  </si>
  <si>
    <t>Mateus Tucurui</t>
  </si>
  <si>
    <t>Mateus Tianguá</t>
  </si>
  <si>
    <t>Tianguá</t>
  </si>
  <si>
    <t>CD 116</t>
  </si>
  <si>
    <t>MAT TUCURUI</t>
  </si>
  <si>
    <t>Edinaldo</t>
  </si>
  <si>
    <t>Liliane</t>
  </si>
  <si>
    <t>Carla</t>
  </si>
  <si>
    <t>Thieude</t>
  </si>
  <si>
    <t>Welessandra</t>
  </si>
  <si>
    <t>COORDENADOR:</t>
  </si>
  <si>
    <t>Mês:</t>
  </si>
  <si>
    <t>Marca do Mês</t>
  </si>
  <si>
    <t>Meta Geral</t>
  </si>
  <si>
    <t>Venda Geral</t>
  </si>
  <si>
    <t>%</t>
  </si>
  <si>
    <t>Premiação Total</t>
  </si>
  <si>
    <t>Meta Avine</t>
  </si>
  <si>
    <t>Venda Avine</t>
  </si>
  <si>
    <t>Premiação</t>
  </si>
  <si>
    <t>Meta Cappellaro</t>
  </si>
  <si>
    <t>Venda Cappellaro</t>
  </si>
  <si>
    <t>Resultado Master</t>
  </si>
  <si>
    <t>Meta Famosa</t>
  </si>
  <si>
    <t>Venda Famosa</t>
  </si>
  <si>
    <t>Meta S&amp;V</t>
  </si>
  <si>
    <t>Venda S&amp;V</t>
  </si>
  <si>
    <t>Sell In</t>
  </si>
  <si>
    <t>Devolução</t>
  </si>
  <si>
    <t>Angela</t>
  </si>
  <si>
    <t>Beatriz</t>
  </si>
  <si>
    <t>Elenilde</t>
  </si>
  <si>
    <t>Kelsiane</t>
  </si>
  <si>
    <t>Mailane</t>
  </si>
  <si>
    <t>Maria</t>
  </si>
  <si>
    <t>Nazaré</t>
  </si>
  <si>
    <t>Rariel</t>
  </si>
  <si>
    <t>Rayara</t>
  </si>
  <si>
    <t>Rosicleia</t>
  </si>
  <si>
    <t>Média</t>
  </si>
  <si>
    <t>F:</t>
  </si>
  <si>
    <t>Atingimento Individual Trebeschi</t>
  </si>
  <si>
    <t>% Treb</t>
  </si>
  <si>
    <t>R$ Treb</t>
  </si>
  <si>
    <t>Total+Treb</t>
  </si>
  <si>
    <t>Total Real</t>
  </si>
  <si>
    <t>Dif %</t>
  </si>
  <si>
    <t>A+ (c/ Trebeschi)</t>
  </si>
  <si>
    <t>Dif R$</t>
  </si>
  <si>
    <t>Ceará Outras Redes</t>
  </si>
  <si>
    <t>Total Master Outras Redes</t>
  </si>
  <si>
    <t>2º</t>
  </si>
  <si>
    <t>RAIMUNDO</t>
  </si>
  <si>
    <t>ALBA</t>
  </si>
  <si>
    <t>CLEANE BRANDAO</t>
  </si>
  <si>
    <t>WILIANE</t>
  </si>
  <si>
    <t>NAYARA</t>
  </si>
  <si>
    <t>LUCAS</t>
  </si>
  <si>
    <t>DEYMERSON</t>
  </si>
  <si>
    <t>ALESSANDRO</t>
  </si>
  <si>
    <t>FLAVIO</t>
  </si>
  <si>
    <t>SANDRA</t>
  </si>
  <si>
    <t>B | Venda &gt; 200.000</t>
  </si>
  <si>
    <t>A+ | Venda &gt; 300.000</t>
  </si>
  <si>
    <t>Mario Covas</t>
  </si>
  <si>
    <t>Mateus Floriano</t>
  </si>
  <si>
    <t>CD 106</t>
  </si>
  <si>
    <t>MAT SOBRAL</t>
  </si>
  <si>
    <t>Mix Sobral</t>
  </si>
  <si>
    <t>MAT PIRIPIRI</t>
  </si>
  <si>
    <t>Piripiri</t>
  </si>
  <si>
    <t>A ( Base )</t>
  </si>
  <si>
    <t>Premiação por Marca e Nível</t>
  </si>
  <si>
    <t>Sell Out Regional</t>
  </si>
  <si>
    <t>Trebeschi</t>
  </si>
  <si>
    <t>Nathalia</t>
  </si>
  <si>
    <t>Lucas</t>
  </si>
  <si>
    <t>Meta Trebeschi</t>
  </si>
  <si>
    <t>Venda Trebeschi</t>
  </si>
  <si>
    <t>Marília</t>
  </si>
  <si>
    <t>DEZ</t>
  </si>
  <si>
    <t>PROMOTOR(A):</t>
  </si>
  <si>
    <t>COORDENADOR(A):</t>
  </si>
  <si>
    <t>Joseane</t>
  </si>
  <si>
    <t>William</t>
  </si>
  <si>
    <t>Canaa</t>
  </si>
  <si>
    <t>Super Estreito</t>
  </si>
  <si>
    <t>Bragança</t>
  </si>
  <si>
    <t>Paragominas</t>
  </si>
  <si>
    <t>Vago</t>
  </si>
  <si>
    <t>KASSYA</t>
  </si>
  <si>
    <t>SIMONE</t>
  </si>
  <si>
    <t>Pat. Regina</t>
  </si>
  <si>
    <t>Cleane</t>
  </si>
  <si>
    <t>Renan</t>
  </si>
  <si>
    <t>Elisângela</t>
  </si>
  <si>
    <t>DAIANE</t>
  </si>
  <si>
    <t>Intermitente Barcarena</t>
  </si>
  <si>
    <t>Nargila</t>
  </si>
  <si>
    <t>MAT UBATUBA</t>
  </si>
  <si>
    <t>Mat Ubatuba</t>
  </si>
  <si>
    <t>Nova Timon</t>
  </si>
  <si>
    <t>Dom Eliseu</t>
  </si>
  <si>
    <t>Camino Itinga</t>
  </si>
  <si>
    <t>Camino Cururupu</t>
  </si>
  <si>
    <t>Camino Urb. Santos</t>
  </si>
  <si>
    <t>Camino Tomé Açu</t>
  </si>
  <si>
    <t>Camino Dom Eliseu</t>
  </si>
  <si>
    <t>Camino Colinas</t>
  </si>
  <si>
    <t>C B MAGALHAE</t>
  </si>
  <si>
    <t>Universo</t>
  </si>
  <si>
    <t>MUNDO DE COI</t>
  </si>
  <si>
    <t>Mundo de Coisas</t>
  </si>
  <si>
    <t>EMPORIO PINH</t>
  </si>
  <si>
    <t>Emp Pinheiro</t>
  </si>
  <si>
    <t>Mix Itapipoca</t>
  </si>
  <si>
    <t>Cleisse</t>
  </si>
  <si>
    <t>Mix itapipoca</t>
  </si>
  <si>
    <t>Camino Santa Helena</t>
  </si>
  <si>
    <t>Camino São Bento</t>
  </si>
  <si>
    <t>Camino Miguel Gama</t>
  </si>
  <si>
    <t>SILDIENY</t>
  </si>
  <si>
    <t>RUTH</t>
  </si>
  <si>
    <t>Ruth</t>
  </si>
  <si>
    <t>Pat. Cristina</t>
  </si>
  <si>
    <t>Regional</t>
  </si>
  <si>
    <t>Cleane Brandao</t>
  </si>
  <si>
    <t>Supervisor</t>
  </si>
  <si>
    <t>-</t>
  </si>
  <si>
    <t>Gerente</t>
  </si>
  <si>
    <t>Devolução &lt; 1,5%</t>
  </si>
  <si>
    <t>Total Edinaldo</t>
  </si>
  <si>
    <t>Total Raianne</t>
  </si>
  <si>
    <t>NARGILA</t>
  </si>
  <si>
    <t>APP</t>
  </si>
  <si>
    <t>Estoque</t>
  </si>
  <si>
    <t>Preço</t>
  </si>
  <si>
    <t>Pesquisa de Preço</t>
  </si>
  <si>
    <t>PROMOTOR:</t>
  </si>
  <si>
    <t>Ago</t>
  </si>
  <si>
    <t>Surpevisor</t>
  </si>
  <si>
    <t>Ma Sul</t>
  </si>
  <si>
    <t>Sildieny</t>
  </si>
  <si>
    <t>ÉDINA</t>
  </si>
  <si>
    <t>Premiação por Marca</t>
  </si>
  <si>
    <t>Aplicativo</t>
  </si>
  <si>
    <t>Função</t>
  </si>
  <si>
    <t>Devolução Avine</t>
  </si>
  <si>
    <t>Atingimento &lt;= 1.5%</t>
  </si>
  <si>
    <t>NÍVEL ( Sell out )</t>
  </si>
  <si>
    <t>A+ ( 300.000+ )</t>
  </si>
  <si>
    <t>A ( 260.000+ )</t>
  </si>
  <si>
    <t>B ( 200.000+ )</t>
  </si>
  <si>
    <t>C ( Até 200.000 )</t>
  </si>
  <si>
    <t>% Estoque</t>
  </si>
  <si>
    <t>Status Meta</t>
  </si>
  <si>
    <t>Status Promotor</t>
  </si>
  <si>
    <t>Pesq. Preço R$</t>
  </si>
  <si>
    <t>SHEYLA</t>
  </si>
  <si>
    <t>Sheyla</t>
  </si>
  <si>
    <t>Domingas</t>
  </si>
  <si>
    <t>F. MAGDA</t>
  </si>
  <si>
    <t>Auxiliares</t>
  </si>
  <si>
    <t>Márcio</t>
  </si>
  <si>
    <t>Dailson</t>
  </si>
  <si>
    <t>Aitividades Extras</t>
  </si>
  <si>
    <t>Atividade 1</t>
  </si>
  <si>
    <t>Atividade 2</t>
  </si>
  <si>
    <t>Auxiliar</t>
  </si>
  <si>
    <t>NATHALIA</t>
  </si>
  <si>
    <t>LILIANE</t>
  </si>
  <si>
    <t>ABR</t>
  </si>
  <si>
    <t>F. Magda</t>
  </si>
  <si>
    <t>Wiliane</t>
  </si>
  <si>
    <t>COD Loja</t>
  </si>
  <si>
    <t>Rede</t>
  </si>
  <si>
    <t>Grupo</t>
  </si>
  <si>
    <t>Sim</t>
  </si>
  <si>
    <t>Mateus</t>
  </si>
  <si>
    <t>Mateus CD331</t>
  </si>
  <si>
    <t>CD 331</t>
  </si>
  <si>
    <t>Camino</t>
  </si>
  <si>
    <t>Mat CD Marab</t>
  </si>
  <si>
    <t>CD 337</t>
  </si>
  <si>
    <t>Varejo</t>
  </si>
  <si>
    <t>Mat Crateus</t>
  </si>
  <si>
    <t>Mat Maracanau</t>
  </si>
  <si>
    <t>Mat Quixeram</t>
  </si>
  <si>
    <t>Mat Quixeramobim</t>
  </si>
  <si>
    <t>Extra</t>
  </si>
  <si>
    <t>Mix</t>
  </si>
  <si>
    <t>Não</t>
  </si>
  <si>
    <t>Mat Potosi</t>
  </si>
  <si>
    <t>Mat Bengui</t>
  </si>
  <si>
    <t>Mateus Bengui</t>
  </si>
  <si>
    <t>Mat Livram</t>
  </si>
  <si>
    <t>MAT PQ ALVORADA</t>
  </si>
  <si>
    <t>Mat Parnai</t>
  </si>
  <si>
    <t>Mat Zequin</t>
  </si>
  <si>
    <t>Bom Preço</t>
  </si>
  <si>
    <t>Resultado</t>
  </si>
  <si>
    <t>Meta</t>
  </si>
  <si>
    <t>Prom Avine</t>
  </si>
  <si>
    <t>Prom Frutas</t>
  </si>
  <si>
    <t>Result Capp</t>
  </si>
  <si>
    <t>Meta Capp</t>
  </si>
  <si>
    <t>Marca</t>
  </si>
  <si>
    <t>Atacadão SLZ</t>
  </si>
  <si>
    <t>ISRAEL</t>
  </si>
  <si>
    <t>Devolução &lt;= 1.5%</t>
  </si>
  <si>
    <t>Avaliação APP</t>
  </si>
  <si>
    <t>Atingimento Individual Famosa / Florestal</t>
  </si>
  <si>
    <t>DIEGO</t>
  </si>
  <si>
    <t>Renata</t>
  </si>
  <si>
    <t>WEDESON</t>
  </si>
  <si>
    <t>JOSILEIA</t>
  </si>
  <si>
    <t>MARLI</t>
  </si>
  <si>
    <t>ANDERSON</t>
  </si>
  <si>
    <t>BRUNA</t>
  </si>
  <si>
    <t>JONAS</t>
  </si>
  <si>
    <t xml:space="preserve">506 - MATEUS SUPERMERCADOS S A MIX HENRIQUE JORGE </t>
  </si>
  <si>
    <t>Mat Henrique Jorge</t>
  </si>
  <si>
    <t>514 - MATEUS SUPERMERCADOS S A MIX MARANGUAPE-CE</t>
  </si>
  <si>
    <t>Mat Maranguape</t>
  </si>
  <si>
    <t>Mat Coelho Neto</t>
  </si>
  <si>
    <t>WILLIAM</t>
  </si>
  <si>
    <t>ERIBERTO</t>
  </si>
  <si>
    <t>JUL</t>
  </si>
  <si>
    <t>FERNANDA</t>
  </si>
  <si>
    <t>RONALD</t>
  </si>
  <si>
    <t>KARINA</t>
  </si>
  <si>
    <t>Nome_Loja</t>
  </si>
  <si>
    <t>Venda</t>
  </si>
  <si>
    <t>Tendencia</t>
  </si>
  <si>
    <t>META</t>
  </si>
  <si>
    <t>MES</t>
  </si>
  <si>
    <t>ANO</t>
  </si>
  <si>
    <t>RENATA</t>
  </si>
  <si>
    <t>ANDRESSON</t>
  </si>
  <si>
    <t>EDNA</t>
  </si>
  <si>
    <t>LARISSA</t>
  </si>
  <si>
    <t>JOÃO MARCOS</t>
  </si>
  <si>
    <t>LETICIA</t>
  </si>
  <si>
    <t>BRUNA SUELE</t>
  </si>
  <si>
    <t>ANTONIA MICHELLE</t>
  </si>
  <si>
    <t>ANTONIA LARISSA</t>
  </si>
  <si>
    <t>ANIELLY</t>
  </si>
  <si>
    <t>DANIELE</t>
  </si>
  <si>
    <t>YHAGO</t>
  </si>
  <si>
    <t>GUILHERME</t>
  </si>
  <si>
    <t>KAYTH</t>
  </si>
  <si>
    <t>Cooredenador</t>
  </si>
  <si>
    <t>reg</t>
  </si>
  <si>
    <t>coord</t>
  </si>
  <si>
    <t>Venda Nível</t>
  </si>
  <si>
    <t>ANDERSON CRUZ</t>
  </si>
  <si>
    <t>BRUNA LAYRES</t>
  </si>
  <si>
    <t>CARLA RAIANE</t>
  </si>
  <si>
    <t>MARLY</t>
  </si>
  <si>
    <t>SANDRA MARIA</t>
  </si>
  <si>
    <t>SHEYLLA</t>
  </si>
  <si>
    <t>ERICA</t>
  </si>
  <si>
    <t>Patricia</t>
  </si>
  <si>
    <t>CARLOS HENRIQUE</t>
  </si>
  <si>
    <t>ISABELLA</t>
  </si>
  <si>
    <t>Meta Sucré</t>
  </si>
  <si>
    <t>Venda Sucré</t>
  </si>
  <si>
    <t>Meta Frios</t>
  </si>
  <si>
    <t>Venda Frios</t>
  </si>
  <si>
    <t>FLAVIA MACHADO</t>
  </si>
  <si>
    <t>Supervisão</t>
  </si>
  <si>
    <t>Assistente</t>
  </si>
  <si>
    <t>Dev</t>
  </si>
  <si>
    <t>DHELYANA</t>
  </si>
  <si>
    <t>R$ APP</t>
  </si>
  <si>
    <t>% App</t>
  </si>
  <si>
    <t>PAULO</t>
  </si>
  <si>
    <t>LARISSA LIMA</t>
  </si>
  <si>
    <t>MARTA</t>
  </si>
  <si>
    <t>ERICA RAQUEL</t>
  </si>
  <si>
    <t>WILKENIA</t>
  </si>
  <si>
    <t>MARIA CLAUDILENE</t>
  </si>
  <si>
    <t>VITORIA</t>
  </si>
  <si>
    <t>Set</t>
  </si>
  <si>
    <t>Líder</t>
  </si>
  <si>
    <t>LOREN</t>
  </si>
  <si>
    <t>MARIA DIANA</t>
  </si>
  <si>
    <t>AMANDA CRISTINA</t>
  </si>
  <si>
    <t>DENILSON</t>
  </si>
  <si>
    <t>KILVIA</t>
  </si>
  <si>
    <t>MARCONDES</t>
  </si>
  <si>
    <t>FERNANDO</t>
  </si>
  <si>
    <t>MARIANE</t>
  </si>
  <si>
    <t>FABIANE</t>
  </si>
  <si>
    <t>JOICINARA</t>
  </si>
  <si>
    <t>PAULO NATAN</t>
  </si>
  <si>
    <t>KAMILA</t>
  </si>
  <si>
    <t>ROBERTO</t>
  </si>
  <si>
    <t>GILERLESON</t>
  </si>
  <si>
    <t>ISAC</t>
  </si>
  <si>
    <t>IRACI FERREIRA SANTOS</t>
  </si>
  <si>
    <t>JÉSSICA</t>
  </si>
  <si>
    <t>Helloysson</t>
  </si>
  <si>
    <t>JUNIVALDO</t>
  </si>
  <si>
    <t>LETICIA SANTOS</t>
  </si>
  <si>
    <t>A+ &gt; 300.000</t>
  </si>
  <si>
    <t>Reg</t>
  </si>
  <si>
    <t>RAYLLA</t>
  </si>
  <si>
    <t>% Pinh</t>
  </si>
  <si>
    <t>R$ Pinh</t>
  </si>
  <si>
    <t>Cod_Loja</t>
  </si>
  <si>
    <t>Fornecedor</t>
  </si>
  <si>
    <t>Promotor_Avine</t>
  </si>
  <si>
    <t>Promotor_Cappellaro</t>
  </si>
  <si>
    <t>Promotor_Famosa</t>
  </si>
  <si>
    <t>Promotor_Pinheiro</t>
  </si>
  <si>
    <t>Devolucao</t>
  </si>
  <si>
    <t>Dias_Enviados</t>
  </si>
  <si>
    <t>Dias_Abonados</t>
  </si>
  <si>
    <t>Dias_Efetivos</t>
  </si>
  <si>
    <t>VILMENIA</t>
  </si>
  <si>
    <t>LILIANE C.</t>
  </si>
  <si>
    <t>THALYS PABLO</t>
  </si>
  <si>
    <t>Mat Marambaia</t>
  </si>
  <si>
    <t>AGO</t>
  </si>
  <si>
    <t>Pinheiro</t>
  </si>
  <si>
    <t>Mat Cohama</t>
  </si>
  <si>
    <t>Mat Cidade Operária</t>
  </si>
  <si>
    <t>Mat Raposa</t>
  </si>
  <si>
    <t>Mat Parauapebas</t>
  </si>
  <si>
    <t>Mat Cohab</t>
  </si>
  <si>
    <t>MARCELIANE</t>
  </si>
  <si>
    <t>Food SLZ</t>
  </si>
  <si>
    <t>Mat Sao Raimundo</t>
  </si>
  <si>
    <t>Mat Mix Marabá</t>
  </si>
  <si>
    <t>Mat Renascença</t>
  </si>
  <si>
    <t>Mat Mix Rosario</t>
  </si>
  <si>
    <t>Mat Araçagi</t>
  </si>
  <si>
    <t>Mat Forquilha</t>
  </si>
  <si>
    <t>Camino Parque Athenas</t>
  </si>
  <si>
    <t>Mix Anjo Da Guarda</t>
  </si>
  <si>
    <t>Mat Patio Norte</t>
  </si>
  <si>
    <t>Mat Mix Castanhal</t>
  </si>
  <si>
    <t>Mat Cajazeiras</t>
  </si>
  <si>
    <t>Mat Bacanga</t>
  </si>
  <si>
    <t>Mat Pedreira</t>
  </si>
  <si>
    <t>Mat Bacuri</t>
  </si>
  <si>
    <t>Hiper Docas</t>
  </si>
  <si>
    <t>Mat Mix Belém</t>
  </si>
  <si>
    <t>Mat Mix Santa Inês</t>
  </si>
  <si>
    <t>Mat Tamandaré</t>
  </si>
  <si>
    <t>Mat Alemanha</t>
  </si>
  <si>
    <t>Mat Babaçulândia</t>
  </si>
  <si>
    <t>Mat Maiobão</t>
  </si>
  <si>
    <t>Mat Coqueiro</t>
  </si>
  <si>
    <t>Mat Super Cohatrac</t>
  </si>
  <si>
    <t>Mat Sup Santa Inês</t>
  </si>
  <si>
    <t>Mat Mix Açailândia</t>
  </si>
  <si>
    <t>Mat Tirirical</t>
  </si>
  <si>
    <t>Mat João Paulo</t>
  </si>
  <si>
    <t>Mateus Super Maioba</t>
  </si>
  <si>
    <t>Mat Ceará</t>
  </si>
  <si>
    <t>Mat Mix Marituba</t>
  </si>
  <si>
    <t>Mat Calhau</t>
  </si>
  <si>
    <t>Mat Sup Castanhal</t>
  </si>
  <si>
    <t>Mat Marabá</t>
  </si>
  <si>
    <t>Mat Maguari</t>
  </si>
  <si>
    <t>Mat Curva do 90</t>
  </si>
  <si>
    <t>Mat Super Anil</t>
  </si>
  <si>
    <t>Mat Mix Tropical</t>
  </si>
  <si>
    <t>Mat Turuzinho</t>
  </si>
  <si>
    <t>Mat Goiás</t>
  </si>
  <si>
    <t>Mat Barrerinhas</t>
  </si>
  <si>
    <t>Super General Arthur</t>
  </si>
  <si>
    <t>Mat Canaa</t>
  </si>
  <si>
    <t>Mat Chapadinha</t>
  </si>
  <si>
    <t>Mat Santa Clara</t>
  </si>
  <si>
    <t>Mat Mix Balsas</t>
  </si>
  <si>
    <t>Mat Jaderlândia</t>
  </si>
  <si>
    <t>Mat Carajás</t>
  </si>
  <si>
    <t>Mat Cid Nova</t>
  </si>
  <si>
    <t>Mat Rio Anil</t>
  </si>
  <si>
    <t>Mat Shop da Ilha</t>
  </si>
  <si>
    <t>Mat Sup Açailândia</t>
  </si>
  <si>
    <t>Mat Mario Covas</t>
  </si>
  <si>
    <t>Mat Cohatrac</t>
  </si>
  <si>
    <t>Mat Super Turu</t>
  </si>
  <si>
    <t>Mat Nova Marabá</t>
  </si>
  <si>
    <t>SET</t>
  </si>
  <si>
    <t>Mat Teresina</t>
  </si>
  <si>
    <t>ALINE MAIARA</t>
  </si>
  <si>
    <t>Mat Nova Timon</t>
  </si>
  <si>
    <t>PAULO FERNANDO</t>
  </si>
  <si>
    <t>BRUNO GOMES</t>
  </si>
  <si>
    <t xml:space="preserve">ERIC </t>
  </si>
  <si>
    <t>Mat Jose Walter</t>
  </si>
  <si>
    <t>FRANCISCO JAMISON</t>
  </si>
  <si>
    <t>Mat Caxias</t>
  </si>
  <si>
    <t>Mat Mix Itapipoca</t>
  </si>
  <si>
    <t>SABRINA RODRIGUES</t>
  </si>
  <si>
    <t>Mat Floriano</t>
  </si>
  <si>
    <t>Mat Caninde</t>
  </si>
  <si>
    <t>ANA CAROLLINE</t>
  </si>
  <si>
    <t>Mat Parnaíba</t>
  </si>
  <si>
    <t>FRANCINETE</t>
  </si>
  <si>
    <t>Mat Mix Sobral</t>
  </si>
  <si>
    <t>LEO JAIME</t>
  </si>
  <si>
    <t>JARDEL</t>
  </si>
  <si>
    <t>Mat Caucaia</t>
  </si>
  <si>
    <t>Mat Mix Timon</t>
  </si>
  <si>
    <t>Mat Tianguá</t>
  </si>
  <si>
    <t>Hiper Joao XXIII</t>
  </si>
  <si>
    <t>Mat Aracati</t>
  </si>
  <si>
    <t>WENDY FERREIRA</t>
  </si>
  <si>
    <t>Mat Juazeiro do Norte</t>
  </si>
  <si>
    <t>LEUJUAN DIAS</t>
  </si>
  <si>
    <t>Mix Messejana</t>
  </si>
  <si>
    <t>CHARLES DOS SANTOS</t>
  </si>
  <si>
    <t>PEDRO HENRIQUE</t>
  </si>
  <si>
    <t>Mat Ceasa Teresina</t>
  </si>
  <si>
    <t>Mat Russas</t>
  </si>
  <si>
    <t>ANA LUIZA</t>
  </si>
  <si>
    <t>MARCELLE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</si>
</sst>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%"/>
    <numFmt numFmtId="166" formatCode="_-&quot;R$&quot;\ * #,##0.000_-;\-&quot;R$&quot;\ * #,##0.000_-;_-&quot;R$&quot;\ * &quot;-&quot;??_-;_-@_-"/>
    <numFmt numFmtId="167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8" xfId="0" applyFont="1" applyBorder="1" applyAlignment="1">
      <alignment horizontal="center"/>
    </xf>
    <xf numFmtId="44" fontId="4" fillId="0" borderId="8" xfId="1" applyFont="1" applyBorder="1" applyAlignment="1">
      <alignment horizontal="center"/>
    </xf>
    <xf numFmtId="44" fontId="4" fillId="0" borderId="9" xfId="0" applyNumberFormat="1" applyFon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1" fillId="0" borderId="3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9" fontId="7" fillId="0" borderId="10" xfId="0" applyNumberFormat="1" applyFont="1" applyBorder="1" applyAlignment="1">
      <alignment horizontal="center"/>
    </xf>
    <xf numFmtId="9" fontId="7" fillId="0" borderId="4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2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4" fontId="0" fillId="0" borderId="0" xfId="1" applyFont="1" applyFill="1" applyBorder="1"/>
    <xf numFmtId="44" fontId="0" fillId="0" borderId="17" xfId="1" applyFont="1" applyFill="1" applyBorder="1"/>
    <xf numFmtId="9" fontId="0" fillId="0" borderId="0" xfId="2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4" fontId="2" fillId="0" borderId="16" xfId="0" applyNumberFormat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2" applyNumberFormat="1" applyFont="1"/>
    <xf numFmtId="0" fontId="5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9" fillId="0" borderId="18" xfId="1" applyFont="1" applyFill="1" applyBorder="1" applyAlignment="1">
      <alignment horizontal="center" vertical="center"/>
    </xf>
    <xf numFmtId="44" fontId="9" fillId="0" borderId="2" xfId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center"/>
    </xf>
    <xf numFmtId="44" fontId="10" fillId="0" borderId="0" xfId="1" applyFont="1" applyFill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44" fontId="0" fillId="0" borderId="18" xfId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10" fontId="10" fillId="0" borderId="0" xfId="2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9" fontId="0" fillId="0" borderId="0" xfId="2" applyFont="1"/>
    <xf numFmtId="44" fontId="10" fillId="0" borderId="19" xfId="1" applyFont="1" applyFill="1" applyBorder="1" applyAlignment="1">
      <alignment horizontal="center"/>
    </xf>
    <xf numFmtId="0" fontId="0" fillId="0" borderId="19" xfId="0" applyBorder="1"/>
    <xf numFmtId="9" fontId="0" fillId="0" borderId="19" xfId="0" applyNumberFormat="1" applyBorder="1" applyAlignment="1">
      <alignment horizontal="center"/>
    </xf>
    <xf numFmtId="44" fontId="1" fillId="0" borderId="19" xfId="1" applyFont="1" applyFill="1" applyBorder="1"/>
    <xf numFmtId="44" fontId="0" fillId="0" borderId="12" xfId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4" fontId="0" fillId="0" borderId="21" xfId="0" applyNumberFormat="1" applyBorder="1" applyAlignment="1">
      <alignment horizontal="center"/>
    </xf>
    <xf numFmtId="44" fontId="0" fillId="0" borderId="2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44" fontId="0" fillId="0" borderId="0" xfId="1" applyFont="1"/>
    <xf numFmtId="165" fontId="0" fillId="0" borderId="0" xfId="2" applyNumberFormat="1" applyFont="1" applyAlignment="1">
      <alignment horizontal="center"/>
    </xf>
    <xf numFmtId="43" fontId="0" fillId="0" borderId="0" xfId="3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5" fillId="2" borderId="25" xfId="0" applyFont="1" applyFill="1" applyBorder="1" applyAlignment="1">
      <alignment horizontal="center"/>
    </xf>
    <xf numFmtId="165" fontId="0" fillId="0" borderId="6" xfId="2" applyNumberFormat="1" applyFont="1" applyBorder="1" applyAlignment="1">
      <alignment horizontal="center"/>
    </xf>
    <xf numFmtId="44" fontId="0" fillId="0" borderId="0" xfId="0" applyNumberFormat="1"/>
    <xf numFmtId="44" fontId="2" fillId="0" borderId="0" xfId="1" applyFont="1" applyFill="1" applyBorder="1" applyAlignment="1">
      <alignment horizontal="center"/>
    </xf>
    <xf numFmtId="10" fontId="0" fillId="0" borderId="0" xfId="2" applyNumberFormat="1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2" fillId="0" borderId="0" xfId="0" applyFont="1" applyAlignment="1">
      <alignment horizontal="center"/>
    </xf>
    <xf numFmtId="44" fontId="13" fillId="0" borderId="26" xfId="1" applyFont="1" applyBorder="1" applyAlignment="1">
      <alignment horizontal="center"/>
    </xf>
    <xf numFmtId="165" fontId="13" fillId="0" borderId="26" xfId="2" applyNumberFormat="1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0" xfId="0" applyFont="1" applyAlignment="1">
      <alignment horizontal="center"/>
    </xf>
    <xf numFmtId="44" fontId="15" fillId="0" borderId="17" xfId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0" fontId="13" fillId="0" borderId="26" xfId="2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4" fontId="1" fillId="0" borderId="0" xfId="1" applyFont="1" applyAlignment="1">
      <alignment horizontal="center"/>
    </xf>
    <xf numFmtId="0" fontId="5" fillId="2" borderId="27" xfId="0" applyFont="1" applyFill="1" applyBorder="1" applyAlignment="1">
      <alignment horizontal="center"/>
    </xf>
    <xf numFmtId="44" fontId="0" fillId="3" borderId="27" xfId="1" applyFont="1" applyFill="1" applyBorder="1" applyAlignment="1">
      <alignment horizontal="center"/>
    </xf>
    <xf numFmtId="44" fontId="0" fillId="0" borderId="27" xfId="1" applyFont="1" applyBorder="1" applyAlignment="1">
      <alignment horizontal="center"/>
    </xf>
    <xf numFmtId="165" fontId="0" fillId="3" borderId="27" xfId="2" applyNumberFormat="1" applyFont="1" applyFill="1" applyBorder="1" applyAlignment="1">
      <alignment horizontal="center"/>
    </xf>
    <xf numFmtId="165" fontId="0" fillId="0" borderId="27" xfId="2" applyNumberFormat="1" applyFont="1" applyBorder="1" applyAlignment="1">
      <alignment horizontal="center"/>
    </xf>
    <xf numFmtId="44" fontId="7" fillId="0" borderId="0" xfId="1" applyFont="1" applyAlignment="1">
      <alignment horizontal="center"/>
    </xf>
    <xf numFmtId="165" fontId="1" fillId="0" borderId="0" xfId="2" applyNumberFormat="1" applyFont="1" applyAlignment="1">
      <alignment horizontal="center"/>
    </xf>
    <xf numFmtId="10" fontId="0" fillId="0" borderId="6" xfId="2" applyNumberFormat="1" applyFont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44" fontId="1" fillId="0" borderId="1" xfId="1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44" fontId="1" fillId="0" borderId="0" xfId="1" applyFont="1" applyFill="1" applyBorder="1"/>
    <xf numFmtId="44" fontId="11" fillId="0" borderId="0" xfId="1" applyFont="1" applyFill="1" applyBorder="1" applyAlignment="1">
      <alignment horizontal="center"/>
    </xf>
    <xf numFmtId="44" fontId="11" fillId="0" borderId="12" xfId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44" fontId="11" fillId="0" borderId="21" xfId="0" applyNumberFormat="1" applyFont="1" applyBorder="1" applyAlignment="1">
      <alignment horizontal="center"/>
    </xf>
    <xf numFmtId="44" fontId="11" fillId="0" borderId="22" xfId="0" applyNumberFormat="1" applyFont="1" applyBorder="1" applyAlignment="1">
      <alignment horizontal="center"/>
    </xf>
    <xf numFmtId="0" fontId="0" fillId="7" borderId="21" xfId="0" applyFill="1" applyBorder="1" applyAlignment="1">
      <alignment horizontal="center"/>
    </xf>
    <xf numFmtId="44" fontId="0" fillId="7" borderId="21" xfId="0" applyNumberFormat="1" applyFill="1" applyBorder="1" applyAlignment="1">
      <alignment horizontal="center"/>
    </xf>
    <xf numFmtId="44" fontId="0" fillId="7" borderId="22" xfId="0" applyNumberFormat="1" applyFill="1" applyBorder="1" applyAlignment="1">
      <alignment horizontal="center"/>
    </xf>
    <xf numFmtId="44" fontId="11" fillId="0" borderId="8" xfId="1" applyFont="1" applyBorder="1" applyAlignment="1">
      <alignment horizontal="center"/>
    </xf>
    <xf numFmtId="44" fontId="11" fillId="0" borderId="0" xfId="0" applyNumberFormat="1" applyFont="1" applyAlignment="1">
      <alignment horizontal="center"/>
    </xf>
    <xf numFmtId="0" fontId="11" fillId="7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9" fontId="12" fillId="0" borderId="26" xfId="2" applyFont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2" xfId="1" applyFont="1" applyFill="1" applyBorder="1" applyAlignment="1">
      <alignment horizontal="center"/>
    </xf>
    <xf numFmtId="44" fontId="11" fillId="8" borderId="0" xfId="1" applyFont="1" applyFill="1" applyBorder="1" applyAlignment="1">
      <alignment horizontal="center"/>
    </xf>
    <xf numFmtId="44" fontId="0" fillId="8" borderId="0" xfId="1" applyFont="1" applyFill="1" applyBorder="1" applyAlignment="1">
      <alignment horizontal="center"/>
    </xf>
    <xf numFmtId="44" fontId="0" fillId="8" borderId="12" xfId="1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44" fontId="0" fillId="3" borderId="23" xfId="1" applyFont="1" applyFill="1" applyBorder="1" applyAlignment="1">
      <alignment horizontal="center"/>
    </xf>
    <xf numFmtId="165" fontId="0" fillId="3" borderId="23" xfId="2" applyNumberFormat="1" applyFont="1" applyFill="1" applyBorder="1" applyAlignment="1">
      <alignment horizontal="center"/>
    </xf>
    <xf numFmtId="0" fontId="0" fillId="0" borderId="1" xfId="0" applyBorder="1"/>
    <xf numFmtId="9" fontId="1" fillId="0" borderId="10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0" fillId="0" borderId="31" xfId="0" applyBorder="1"/>
    <xf numFmtId="44" fontId="1" fillId="0" borderId="31" xfId="1" applyFont="1" applyFill="1" applyBorder="1"/>
    <xf numFmtId="44" fontId="3" fillId="0" borderId="18" xfId="1" applyFont="1" applyFill="1" applyBorder="1"/>
    <xf numFmtId="44" fontId="3" fillId="0" borderId="2" xfId="1" applyFont="1" applyFill="1" applyBorder="1"/>
    <xf numFmtId="0" fontId="12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44" fontId="13" fillId="0" borderId="37" xfId="1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65" fontId="13" fillId="0" borderId="38" xfId="2" applyNumberFormat="1" applyFont="1" applyBorder="1" applyAlignment="1">
      <alignment horizontal="center"/>
    </xf>
    <xf numFmtId="44" fontId="13" fillId="0" borderId="38" xfId="1" applyFont="1" applyBorder="1" applyAlignment="1">
      <alignment horizontal="center"/>
    </xf>
    <xf numFmtId="44" fontId="13" fillId="0" borderId="39" xfId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44" fontId="13" fillId="0" borderId="40" xfId="1" applyFont="1" applyBorder="1" applyAlignment="1">
      <alignment horizontal="center"/>
    </xf>
    <xf numFmtId="10" fontId="13" fillId="0" borderId="40" xfId="2" applyNumberFormat="1" applyFont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4" fillId="9" borderId="29" xfId="0" applyFont="1" applyFill="1" applyBorder="1" applyAlignment="1">
      <alignment horizontal="center"/>
    </xf>
    <xf numFmtId="44" fontId="4" fillId="9" borderId="23" xfId="1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/>
    </xf>
    <xf numFmtId="165" fontId="4" fillId="9" borderId="23" xfId="2" applyNumberFormat="1" applyFont="1" applyFill="1" applyBorder="1" applyAlignment="1">
      <alignment horizontal="center"/>
    </xf>
    <xf numFmtId="44" fontId="4" fillId="9" borderId="27" xfId="1" applyFont="1" applyFill="1" applyBorder="1" applyAlignment="1">
      <alignment horizontal="center"/>
    </xf>
    <xf numFmtId="44" fontId="0" fillId="0" borderId="10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0" applyNumberFormat="1"/>
    <xf numFmtId="0" fontId="7" fillId="4" borderId="4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44" fontId="18" fillId="0" borderId="0" xfId="1" applyFont="1" applyBorder="1" applyAlignment="1">
      <alignment horizontal="center"/>
    </xf>
    <xf numFmtId="44" fontId="18" fillId="0" borderId="12" xfId="1" applyFont="1" applyBorder="1" applyAlignment="1">
      <alignment horizontal="center"/>
    </xf>
    <xf numFmtId="44" fontId="11" fillId="0" borderId="0" xfId="1" applyFont="1" applyBorder="1" applyAlignment="1">
      <alignment horizontal="center"/>
    </xf>
    <xf numFmtId="44" fontId="11" fillId="0" borderId="12" xfId="1" applyFont="1" applyBorder="1" applyAlignment="1">
      <alignment horizontal="center"/>
    </xf>
    <xf numFmtId="0" fontId="0" fillId="0" borderId="23" xfId="0" applyBorder="1" applyAlignment="1">
      <alignment horizontal="center"/>
    </xf>
    <xf numFmtId="10" fontId="0" fillId="3" borderId="23" xfId="2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4" fontId="15" fillId="0" borderId="0" xfId="1" applyFont="1" applyBorder="1" applyAlignment="1">
      <alignment horizontal="center"/>
    </xf>
    <xf numFmtId="165" fontId="15" fillId="0" borderId="0" xfId="2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5" fillId="2" borderId="24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44" fontId="0" fillId="3" borderId="28" xfId="1" applyFont="1" applyFill="1" applyBorder="1" applyAlignment="1">
      <alignment horizontal="center"/>
    </xf>
    <xf numFmtId="165" fontId="0" fillId="3" borderId="28" xfId="2" applyNumberFormat="1" applyFont="1" applyFill="1" applyBorder="1" applyAlignment="1">
      <alignment horizontal="center"/>
    </xf>
    <xf numFmtId="10" fontId="0" fillId="3" borderId="28" xfId="2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5" fontId="15" fillId="7" borderId="0" xfId="2" applyNumberFormat="1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44" fontId="15" fillId="0" borderId="16" xfId="1" applyFont="1" applyBorder="1" applyAlignment="1">
      <alignment horizontal="center"/>
    </xf>
    <xf numFmtId="44" fontId="13" fillId="0" borderId="17" xfId="1" applyFont="1" applyFill="1" applyBorder="1" applyAlignment="1">
      <alignment horizontal="center"/>
    </xf>
    <xf numFmtId="9" fontId="12" fillId="0" borderId="17" xfId="2" applyFont="1" applyFill="1" applyBorder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66" fontId="0" fillId="0" borderId="0" xfId="1" applyNumberFormat="1" applyFont="1"/>
    <xf numFmtId="0" fontId="22" fillId="0" borderId="0" xfId="0" applyFont="1" applyAlignment="1">
      <alignment horizontal="center"/>
    </xf>
    <xf numFmtId="167" fontId="7" fillId="0" borderId="0" xfId="3" applyNumberFormat="1" applyFont="1"/>
    <xf numFmtId="0" fontId="0" fillId="0" borderId="0" xfId="3" applyNumberFormat="1" applyFont="1"/>
    <xf numFmtId="0" fontId="24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7" fontId="11" fillId="0" borderId="8" xfId="1" applyNumberFormat="1" applyFont="1" applyBorder="1" applyAlignment="1">
      <alignment horizontal="center"/>
    </xf>
    <xf numFmtId="44" fontId="11" fillId="0" borderId="8" xfId="1" applyFont="1" applyBorder="1" applyAlignment="1">
      <alignment horizontal="center"/>
    </xf>
    <xf numFmtId="44" fontId="11" fillId="0" borderId="9" xfId="1" applyFont="1" applyBorder="1" applyAlignment="1">
      <alignment horizontal="center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7" fillId="0" borderId="10" xfId="0" applyNumberFormat="1" applyFont="1" applyBorder="1" applyAlignment="1">
      <alignment horizontal="center"/>
    </xf>
    <xf numFmtId="9" fontId="7" fillId="0" borderId="4" xfId="0" applyNumberFormat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4" fontId="0" fillId="0" borderId="18" xfId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165" fontId="10" fillId="0" borderId="3" xfId="2" applyNumberFormat="1" applyFont="1" applyFill="1" applyBorder="1" applyAlignment="1">
      <alignment horizontal="center"/>
    </xf>
    <xf numFmtId="165" fontId="10" fillId="0" borderId="10" xfId="2" applyNumberFormat="1" applyFont="1" applyFill="1" applyBorder="1" applyAlignment="1">
      <alignment horizontal="center"/>
    </xf>
    <xf numFmtId="165" fontId="10" fillId="0" borderId="4" xfId="2" applyNumberFormat="1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44" fontId="10" fillId="4" borderId="13" xfId="1" applyFont="1" applyFill="1" applyBorder="1" applyAlignment="1">
      <alignment horizontal="center" vertical="center"/>
    </xf>
    <xf numFmtId="44" fontId="10" fillId="4" borderId="14" xfId="1" applyFont="1" applyFill="1" applyBorder="1" applyAlignment="1">
      <alignment horizontal="center" vertical="center"/>
    </xf>
    <xf numFmtId="44" fontId="10" fillId="4" borderId="15" xfId="1" applyFont="1" applyFill="1" applyBorder="1" applyAlignment="1">
      <alignment horizontal="center" vertical="center"/>
    </xf>
    <xf numFmtId="44" fontId="10" fillId="4" borderId="1" xfId="1" applyFont="1" applyFill="1" applyBorder="1" applyAlignment="1">
      <alignment horizontal="center" vertical="center"/>
    </xf>
    <xf numFmtId="44" fontId="10" fillId="4" borderId="18" xfId="1" applyFont="1" applyFill="1" applyBorder="1" applyAlignment="1">
      <alignment horizontal="center" vertical="center"/>
    </xf>
    <xf numFmtId="44" fontId="10" fillId="4" borderId="2" xfId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7" xfId="0" applyFont="1" applyBorder="1" applyAlignment="1">
      <alignment horizontal="center"/>
    </xf>
    <xf numFmtId="44" fontId="14" fillId="6" borderId="3" xfId="1" applyFont="1" applyFill="1" applyBorder="1" applyAlignment="1">
      <alignment horizontal="center"/>
    </xf>
    <xf numFmtId="44" fontId="14" fillId="6" borderId="10" xfId="1" applyFont="1" applyFill="1" applyBorder="1" applyAlignment="1">
      <alignment horizontal="center"/>
    </xf>
    <xf numFmtId="44" fontId="14" fillId="6" borderId="4" xfId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44" fontId="0" fillId="6" borderId="3" xfId="1" applyFont="1" applyFill="1" applyBorder="1" applyAlignment="1">
      <alignment horizontal="center"/>
    </xf>
    <xf numFmtId="44" fontId="23" fillId="6" borderId="10" xfId="1" applyFont="1" applyFill="1" applyBorder="1" applyAlignment="1">
      <alignment horizontal="center"/>
    </xf>
    <xf numFmtId="44" fontId="23" fillId="6" borderId="4" xfId="1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65" fontId="10" fillId="0" borderId="19" xfId="2" applyNumberFormat="1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488"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9BC2E6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9BC2E6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-* #,##0_-;\-* #,##0_-;_-* &quot;-&quot;??_-;_-@_-"/>
    </dxf>
    <dxf>
      <font>
        <b/>
        <color auto="1"/>
      </font>
      <numFmt numFmtId="167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0</xdr:row>
      <xdr:rowOff>104775</xdr:rowOff>
    </xdr:from>
    <xdr:to>
      <xdr:col>24</xdr:col>
      <xdr:colOff>447675</xdr:colOff>
      <xdr:row>3</xdr:row>
      <xdr:rowOff>138113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E63DE1-3AF6-4B36-84D1-836B8EEE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104775"/>
          <a:ext cx="3829050" cy="623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217713</xdr:rowOff>
    </xdr:from>
    <xdr:to>
      <xdr:col>4</xdr:col>
      <xdr:colOff>533291</xdr:colOff>
      <xdr:row>5</xdr:row>
      <xdr:rowOff>118217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437A50-C443-44A2-97D2-1B3EAFABC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22538"/>
          <a:ext cx="4882134" cy="79585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2</xdr:row>
      <xdr:rowOff>190500</xdr:rowOff>
    </xdr:from>
    <xdr:to>
      <xdr:col>8</xdr:col>
      <xdr:colOff>206117</xdr:colOff>
      <xdr:row>5</xdr:row>
      <xdr:rowOff>95249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4D8014-BCEC-468F-8EAF-93F93A716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4" y="695325"/>
          <a:ext cx="2215893" cy="8000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99950B-269B-4168-A6D7-BBB204DD389D}" name="Base_APP" displayName="Base_APP" ref="A2:L35" totalsRowShown="0">
  <autoFilter ref="A2:L35" xr:uid="{FA99950B-269B-4168-A6D7-BBB204DD389D}"/>
  <tableColumns count="12">
    <tableColumn id="3" xr3:uid="{568C4F3A-32DB-48F0-9484-D302548825FB}" name="Promotor" dataDxfId="487"/>
    <tableColumn id="5" xr3:uid="{A529673C-BD99-4246-A0AE-59FC743E74E4}" name="Dias_Enviados" dataDxfId="486" dataCellStyle="Vírgula"/>
    <tableColumn id="1" xr3:uid="{3682A8A5-0151-4801-9F44-12107D9FEE57}" name="Meta" dataDxfId="485" dataCellStyle="Vírgula"/>
    <tableColumn id="7" xr3:uid="{BE16B72F-5C70-4286-BCAF-7070B577AA00}" name="Dias_Abonados" dataDxfId="484" dataCellStyle="Vírgula"/>
    <tableColumn id="2" xr3:uid="{26BFB3B3-33AE-4278-B271-88BC625FD51A}" name="Dias_Efetivos" dataDxfId="483" dataCellStyle="Vírgula"/>
    <tableColumn id="6" xr3:uid="{F7E40990-00F6-40A4-828A-3259FFA9BABC}" name="%" dataDxfId="482" dataCellStyle="Porcentagem">
      <calculatedColumnFormula>IFERROR(Base_APP[[#This Row],[Dias_Enviados]]/(Base_APP[[#This Row],[Meta]]-Base_APP[[#This Row],[Dias_Abonados]]),1)</calculatedColumnFormula>
    </tableColumn>
    <tableColumn id="8" xr3:uid="{F7553869-9B7D-4CC9-A0CB-F02518A0BFEF}" name="% Estoque" dataDxfId="481"/>
    <tableColumn id="9" xr3:uid="{498CBC55-A3AF-4BD1-A181-E501C288B6C6}" name="Status Meta"/>
    <tableColumn id="10" xr3:uid="{268DEFC5-5018-476A-850C-4AC42B045FE9}" name="Status Promotor" dataDxfId="480">
      <calculatedColumnFormula>IFERROR(VLOOKUP(Base_APP[[#This Row],[Promotor]],Promotores[Promotor],1,0),"")</calculatedColumnFormula>
    </tableColumn>
    <tableColumn id="11" xr3:uid="{ED3A0919-9D0B-4DA0-BEA1-860F3910F68C}" name="Pesq. Preço R$"/>
    <tableColumn id="12" xr3:uid="{FDB0E293-3D44-4CD0-B3E0-BF79BEFD6F92}" name="Estoque"/>
    <tableColumn id="13" xr3:uid="{2F640CBD-7F4B-461A-B5E8-8ACD3A4E2E29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AF4798-EC85-481A-A083-B6F8D09309C2}" name="Rotas" displayName="Rotas" ref="A1:H176" totalsRowShown="0" headerRowDxfId="479" headerRowBorderDxfId="478" tableBorderDxfId="477" totalsRowBorderDxfId="476">
  <autoFilter ref="A1:H176" xr:uid="{73AF4798-EC85-481A-A083-B6F8D09309C2}"/>
  <sortState xmlns:xlrd2="http://schemas.microsoft.com/office/spreadsheetml/2017/richdata2" ref="A2:H120">
    <sortCondition ref="F1:F120"/>
  </sortState>
  <tableColumns count="8">
    <tableColumn id="1" xr3:uid="{0F027B51-08AE-4DAF-B485-DDC9FAC11B2E}" name="Cod Avi" dataDxfId="475"/>
    <tableColumn id="2" xr3:uid="{654B4376-C311-4F1A-AB2F-02578A64708B}" name="COD" dataDxfId="474"/>
    <tableColumn id="3" xr3:uid="{CCBBA1A3-3F74-4B3E-8808-9B94E63E04A6}" name="LOJA" dataDxfId="473"/>
    <tableColumn id="4" xr3:uid="{D076A6C0-DA29-4C2E-A4BC-28DC1F197D7E}" name="Nome Loja" dataDxfId="472"/>
    <tableColumn id="5" xr3:uid="{97B2DA13-5FE5-4909-A024-06940A0881CE}" name="PROMOTOR" dataDxfId="471"/>
    <tableColumn id="6" xr3:uid="{12A985E7-2B66-4A85-82A1-8A0E788D6C59}" name="REGIONAL" dataDxfId="470"/>
    <tableColumn id="7" xr3:uid="{9E2F4C84-4BFD-47DF-830C-90C23A33D2BE}" name="Mês" dataDxfId="469"/>
    <tableColumn id="8" xr3:uid="{885D040F-C19E-4575-88BE-821F1B65FA87}" name="Coordenador" dataDxfId="4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C0245C-EE1F-4A01-9E0C-ED040BF4E7A1}" name="Rotas_Geral" displayName="Rotas_Geral" ref="J1:Y143" totalsRowShown="0" headerRowDxfId="467" headerRowBorderDxfId="466" tableBorderDxfId="465">
  <autoFilter ref="J1:Y143" xr:uid="{19C0245C-EE1F-4A01-9E0C-ED040BF4E7A1}"/>
  <sortState xmlns:xlrd2="http://schemas.microsoft.com/office/spreadsheetml/2017/richdata2" ref="J2:Y140">
    <sortCondition ref="J1:J140"/>
  </sortState>
  <tableColumns count="16">
    <tableColumn id="2" xr3:uid="{19D9278A-A390-4E8B-8F60-181664B21B25}" name="COD Loja"/>
    <tableColumn id="3" xr3:uid="{5DAE3A1E-4879-4FE5-9B88-17208944E71F}" name="LOJA"/>
    <tableColumn id="4" xr3:uid="{0E8F4001-9473-443E-93B0-CA2F0525E812}" name="Nome Loja"/>
    <tableColumn id="5" xr3:uid="{3450C3DE-C60E-4C64-B8E2-D2A47233003B}" name="Prom Avine" dataDxfId="464"/>
    <tableColumn id="6" xr3:uid="{5132520E-7A63-43E9-AAC1-88817F5BFE55}" name="Prom Frutas" dataDxfId="463"/>
    <tableColumn id="7" xr3:uid="{8D9C7BF0-DF15-4175-AC13-14B97AFD2CC8}" name="Mês"/>
    <tableColumn id="8" xr3:uid="{8348DD7C-8804-417B-B4E5-516DD175070A}" name="Coordenador"/>
    <tableColumn id="9" xr3:uid="{75766A2D-EA57-473F-80CE-78A4E37C2253}" name="Supervisor"/>
    <tableColumn id="10" xr3:uid="{C2A6C7D9-3569-4311-B799-78B98E4C0825}" name="CD"/>
    <tableColumn id="11" xr3:uid="{9FFAFE20-2891-4011-82A9-5F25C2387974}" name="Gerente"/>
    <tableColumn id="12" xr3:uid="{52CC2BD1-DB4C-47BE-924E-5B12FF8172F9}" name="Rede"/>
    <tableColumn id="13" xr3:uid="{3B172832-4DC4-4DB1-833A-3968CF71E4E2}" name="Grupo"/>
    <tableColumn id="15" xr3:uid="{D4A6C6C1-9CB2-46F5-9B0C-DEEBD98662CA}" name="Resultado" dataDxfId="462">
      <calculatedColumnFormula>IFERROR(VLOOKUP(Rotas_Geral[[#This Row],[Nome Loja]],#REF!,3,0),0)</calculatedColumnFormula>
    </tableColumn>
    <tableColumn id="16" xr3:uid="{158B367D-8105-4A7A-9382-60E9932281CE}" name="Meta" dataDxfId="461">
      <calculatedColumnFormula>IFERROR(VLOOKUP(Rotas_Geral[[#This Row],[Nome Loja]],#REF!,4,0),0)</calculatedColumnFormula>
    </tableColumn>
    <tableColumn id="1" xr3:uid="{9D9E854F-0530-43BB-A532-FFBC08F80FEC}" name="Result Capp" dataDxfId="460">
      <calculatedColumnFormula>IFERROR(VLOOKUP(Rotas_Geral[[#This Row],[Nome Loja]],#REF!,3,0),0)</calculatedColumnFormula>
    </tableColumn>
    <tableColumn id="17" xr3:uid="{142FE846-1AF3-4EA6-AD8C-A2277650BC85}" name="Meta Capp" dataDxfId="459">
      <calculatedColumnFormula>IFERROR(VLOOKUP(Rotas_Geral[[#This Row],[Nome Loja]],#REF!,4,0),0)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052089-2B32-461F-8778-073C888B57E8}" name="Promotores9" displayName="Promotores9" ref="A7:U37" totalsRowShown="0" headerRowDxfId="458" dataDxfId="457" dataCellStyle="Moeda">
  <autoFilter ref="A7:U37" xr:uid="{E8078207-F39A-475F-B928-86675D82616A}"/>
  <tableColumns count="21">
    <tableColumn id="1" xr3:uid="{21840C7B-06FF-47F5-8CD8-03EC042155D4}" name="Promotor" dataDxfId="456"/>
    <tableColumn id="16" xr3:uid="{9DF80643-3615-404C-BBDF-A90B259E188E}" name="Sell Out" dataDxfId="455" dataCellStyle="Moeda">
      <calculatedColumnFormula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calculatedColumnFormula>
    </tableColumn>
    <tableColumn id="17" xr3:uid="{30E0E8FC-135C-40D5-9B2F-8101B6F19237}" name="Nível" dataDxfId="454">
      <calculatedColumnFormula>IF(Promotores9[[#This Row],[Sell Out]]&gt;=300000,"A+",IF(Promotores9[[#This Row],[Sell Out]]&gt;=260000,"A",IF(Promotores9[[#This Row],[Sell Out]]&gt;=200000,"B","C")))</calculatedColumnFormula>
    </tableColumn>
    <tableColumn id="2" xr3:uid="{878B3530-095A-4985-9B1C-25069EE0F554}" name="% Avi" dataDxfId="453" dataCellStyle="Porcentagem">
      <calculatedColumnFormula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calculatedColumnFormula>
    </tableColumn>
    <tableColumn id="3" xr3:uid="{8A50B9AF-4A0E-4733-8FB7-A3D14EED2DEC}" name="R$ Avi" dataDxfId="452" dataCellStyle="Moeda">
      <calculatedColumnFormula>IFERROR(IF(OR(VLOOKUP(A8,Rotas[[PROMOTOR]:[REGIONAL]],2,0)="Pará Sul",VLOOKUP(A8,Rotas[[PROMOTOR]:[REGIONAL]],2,0)="Pará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calculatedColumnFormula>
    </tableColumn>
    <tableColumn id="4" xr3:uid="{AE063466-9F98-47CB-813A-E3FC5E67251D}" name="% Capp" dataDxfId="451" dataCellStyle="Porcentagem">
      <calculatedColumnFormula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calculatedColumnFormula>
    </tableColumn>
    <tableColumn id="5" xr3:uid="{44540E42-DE3E-469E-99A2-9CB917275639}" name="R$ Capp" dataDxfId="450" dataCellStyle="Moeda">
      <calculatedColumnFormula>IFERROR(IF(OR(VLOOKUP(A8,Rotas[[PROMOTOR]:[REGIONAL]],2,0)="Pará Sul",VLOOKUP(A8,Rotas[[PROMOTOR]:[REGIONAL]],2,0)="Pará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calculatedColumnFormula>
    </tableColumn>
    <tableColumn id="6" xr3:uid="{874D6709-3837-4AA4-9755-526CF2A6C0FD}" name="% Fam" dataDxfId="449" dataCellStyle="Porcentagem">
      <calculatedColumnFormula>IFERROR(IFERROR(VLOOKUP(Promotores9[[#This Row],[Promotor]],#REF!,2,0),0)/IFERROR(VLOOKUP(Promotores9[[#This Row],[Promotor]],#REF!,4,0),0),0)</calculatedColumnFormula>
    </tableColumn>
    <tableColumn id="7" xr3:uid="{40BD42B8-FB85-492F-8827-375ACC4F455F}" name="R$ Fam" dataDxfId="448" dataCellStyle="Moeda">
      <calculatedColumnFormula>IFERROR(IF(OR(VLOOKUP(A8,Rotas[[PROMOTOR]:[REGIONAL]],2,0)="Pará Sul",VLOOKUP(A8,Rotas[[PROMOTOR]:[REGIONAL]],2,0)="Pará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calculatedColumnFormula>
    </tableColumn>
    <tableColumn id="8" xr3:uid="{D1135A1D-D0E3-476F-9A85-2DD7A3396B58}" name="% S&amp;V" dataDxfId="447" dataCellStyle="Porcentagem">
      <calculatedColumnFormula>IFERROR(IFERROR(VLOOKUP(Promotores9[[#This Row],[Promotor]],#REF!,2,0),0)/IFERROR(VLOOKUP(Promotores9[[#This Row],[Promotor]],#REF!,4,0),0),0)</calculatedColumnFormula>
    </tableColumn>
    <tableColumn id="9" xr3:uid="{35AF501C-11E7-4872-842A-76206B07EA79}" name="R$ S&amp;V" dataDxfId="446" dataCellStyle="Moeda">
      <calculatedColumnFormula>0</calculatedColumnFormula>
    </tableColumn>
    <tableColumn id="18" xr3:uid="{4A7DFB46-BAA7-4C5D-A478-C57AD07DF504}" name="% Treb" dataDxfId="445" dataCellStyle="Porcentagem">
      <calculatedColumnFormula>IFERROR(IFERROR(VLOOKUP(Promotores9[[#This Row],[Promotor]],#REF!,2,0),0)/IFERROR(VLOOKUP(Promotores9[[#This Row],[Promotor]],#REF!,4,0),0),0)</calculatedColumnFormula>
    </tableColumn>
    <tableColumn id="15" xr3:uid="{F7E90AA5-B0C1-4B5A-8D36-131CFFFDAACD}" name="R$ Treb" dataDxfId="444" dataCellStyle="Moeda"/>
    <tableColumn id="10" xr3:uid="{1ED3D9CD-754F-4B4C-B6A6-F8F56019BA7A}" name="Master" dataDxfId="443" dataCellStyle="Moeda">
      <calculatedColumnFormula>IF(Promotores9[[#This Row],[Sell Out]]=0,0,IF($H$2&gt;=115%,225,IF($H$2&gt;=100%,150,IF($H$2&gt;=90%,75,0))))</calculatedColumnFormula>
    </tableColumn>
    <tableColumn id="11" xr3:uid="{53CA7A29-36DC-4D1B-AB2B-BE63226E1678}" name="APP" dataDxfId="442" dataCellStyle="Moeda">
      <calculatedColumnFormula>IFERROR(SUM(IF(Promotores9[[#This Row],[Estoque]]&gt;=100%,112.5,IF(Promotores9[[#This Row],[Estoque]]&gt;=90%,56.25,0)),IF(Promotores9[[#This Row],[Preço]]&gt;=100%,112.5,IF(Promotores9[[#This Row],[Preço]]&gt;=90%,56.25,0))),0)</calculatedColumnFormula>
    </tableColumn>
    <tableColumn id="12" xr3:uid="{7D7C0BE1-11FC-45CA-A7FE-18F0266895DD}" name="% Dev" dataDxfId="441" dataCellStyle="Porcentagem">
      <calculatedColumnFormula>IFERROR(IFERROR(VLOOKUP(Promotores9[[#This Row],[Promotor]],#REF!,6,0),0)/IFERROR(VLOOKUP(Promotores9[[#This Row],[Promotor]],#REF!,2,0),0),0)</calculatedColumnFormula>
    </tableColumn>
    <tableColumn id="13" xr3:uid="{C01CB38E-C544-4D12-91E6-A03F275C9DBF}" name="R$ Dev" dataDxfId="440" dataCellStyle="Moeda">
      <calculatedColumnFormula>IF(AND(P8&lt;=1.5%,Promotores9[[#This Row],[Sell Out]]&gt;0,Promotores9[[#This Row],[% Avi]]&lt;&gt;0),225,0)</calculatedColumnFormula>
    </tableColumn>
    <tableColumn id="14" xr3:uid="{71DF8395-BCE7-477D-8A91-1FB8FD477B7D}" name="Total" dataDxfId="439" dataCellStyle="Moeda">
      <calculatedColumnFormula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calculatedColumnFormula>
    </tableColumn>
    <tableColumn id="19" xr3:uid="{FBC33189-A9F3-43C4-9C14-F2D04AD36576}" name="Regional" dataDxfId="438" dataCellStyle="Moeda"/>
    <tableColumn id="20" xr3:uid="{78B657FD-6528-4D5A-940D-A8D98B803714}" name="Estoque" dataDxfId="437" dataCellStyle="Porcentagem">
      <calculatedColumnFormula>IFERROR(VLOOKUP(Promotores9[[#This Row],[Promotor]],Base_APP[[Meta]:[% Estoque]],8,0),0)</calculatedColumnFormula>
    </tableColumn>
    <tableColumn id="21" xr3:uid="{FDDB8EA4-66E2-4C64-B159-0CBADE7337D9}" name="Preço" dataDxfId="436" dataCellStyle="Porcentagem">
      <calculatedColumnFormula>IFERROR(VLOOKUP(Promotores9[[#This Row],[Promotor]],Base_APP[[Meta]:[% Estoque]],5,0),0)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D9F8F6-36E1-4205-911A-7FF19F997257}" name="Coordenadores10" displayName="Coordenadores10" ref="X7:AO11" totalsRowShown="0" headerRowDxfId="435" dataDxfId="433" headerRowBorderDxfId="434" tableBorderDxfId="432">
  <autoFilter ref="X7:AO11" xr:uid="{34108C98-086E-4F98-923B-0EFF34D507B0}"/>
  <tableColumns count="18">
    <tableColumn id="1" xr3:uid="{9E7FEA5A-A637-43FB-B4BC-1AD486B72A88}" name="Coordenador" dataDxfId="431"/>
    <tableColumn id="2" xr3:uid="{63394F69-05C2-4E5B-B77F-6AA122ACBB70}" name="Sell Out" dataDxfId="430" dataCellStyle="Moeda">
      <calculatedColumnFormula>IFERROR(VLOOKUP(Coordenadores10[[#This Row],[Coordenador]],#REF!,2,0),0)+IFERROR(VLOOKUP(Coordenadores10[[#This Row],[Coordenador]],#REF!,2,0),0)+IFERROR(VLOOKUP(Coordenadores10[[#This Row],[Coordenador]],#REF!,2,0),0)</calculatedColumnFormula>
    </tableColumn>
    <tableColumn id="3" xr3:uid="{9BD372EF-A858-40CA-8B8A-2FFCD5F670D2}" name="Nível" dataDxfId="429">
      <calculatedColumnFormula>IF(Coordenadores10[[#This Row],[Sell Out]]&gt;=1750000,"A+",IF(Coordenadores10[[#This Row],[Sell Out]]&gt;=1000000,"A","B"))</calculatedColumnFormula>
    </tableColumn>
    <tableColumn id="4" xr3:uid="{68AD6429-B18F-413D-97A7-426EAEFEB39C}" name="% Avi" dataDxfId="428" dataCellStyle="Porcentagem">
      <calculatedColumnFormula>IFERROR(VLOOKUP(Coordenadores10[[#This Row],[Coordenador]],#REF!,2,0)/VLOOKUP(Coordenadores10[[#This Row],[Coordenador]],#REF!,4,0),0)</calculatedColumnFormula>
    </tableColumn>
    <tableColumn id="5" xr3:uid="{8C527DB3-7CD5-44C1-A816-1B58F282B9F3}" name="R$ Avi" dataDxfId="427" dataCellStyle="Moeda">
      <calculatedColumnFormula>IFERROR(IF(Coordenadores10[[#This Row],[Coordenador]]="Raianne",IF($C$2=$AB$5,(IF(Coordenadores10[[#This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Premiação'!$Z$4:$AC$6,2,0),0)))),IF($C$1=$AB$5,(IF(Coordenadores10[[#This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Premiação'!$Z$4:$AC$6,2,0),0))))),0)</calculatedColumnFormula>
    </tableColumn>
    <tableColumn id="6" xr3:uid="{728C0B6E-5291-4C2A-8C19-DDE816D720CD}" name="% Capp" dataDxfId="426" dataCellStyle="Porcentagem">
      <calculatedColumnFormula>IFERROR(VLOOKUP(Coordenadores10[[#This Row],[Coordenador]],#REF!,2,0)/VLOOKUP(Coordenadores10[[#This Row],[Coordenador]],#REF!,4,0),0)</calculatedColumnFormula>
    </tableColumn>
    <tableColumn id="7" xr3:uid="{B1EA4763-383A-4D62-9A63-1C1DA0BFBDB8}" name="R$ Capp" dataDxfId="425" dataCellStyle="Moeda">
      <calculatedColumnFormula>IFERROR(IF(Coordenadores10[[#This Row],[Coordenador]]="Raianne",IF($C$2=$AD$5,(IF(Coordenadores10[[#This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Premiação'!$Z$4:$AC$6,2,0),0)))),IF($C$1=$AD$5,(IF(Coordenadores10[[#This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Premiação'!$Z$4:$AC$6,2,0),0))))),0)</calculatedColumnFormula>
    </tableColumn>
    <tableColumn id="8" xr3:uid="{EDCB096B-1941-463F-AF67-D5BF9E2876A7}" name="% Fam" dataDxfId="424" dataCellStyle="Porcentagem">
      <calculatedColumnFormula>IFERROR(VLOOKUP(Coordenadores10[[#This Row],[Coordenador]],#REF!,2,0)/VLOOKUP(Coordenadores10[[#This Row],[Coordenador]],#REF!,4,0),0)</calculatedColumnFormula>
    </tableColumn>
    <tableColumn id="9" xr3:uid="{35EBF2D7-0548-4461-9843-C3A446C99490}" name="R$ Fam" dataDxfId="423" dataCellStyle="Moeda">
      <calculatedColumnFormula>IFERROR(IF(Coordenadores10[[#This Row],[Coordenador]]="Raianne",IF($C$2=$AD$5,(IF(Coordenadores10[[#This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Premiação'!$Z$4:$AC$6,2,0),0)))),IF($C$1=$AD$5,(IF(Coordenadores10[[#This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Premiação'!$Z$4:$AC$6,2,0),0))))),0)</calculatedColumnFormula>
    </tableColumn>
    <tableColumn id="10" xr3:uid="{247C92F3-C932-4210-BCD4-99C13B6307B0}" name="% S&amp;V" dataDxfId="422" dataCellStyle="Porcentagem">
      <calculatedColumnFormula>IFERROR(VLOOKUP(Coordenadores10[[#This Row],[Coordenador]],#REF!,2,0)/VLOOKUP(Coordenadores10[[#This Row],[Coordenador]],#REF!,4,0),0)</calculatedColumnFormula>
    </tableColumn>
    <tableColumn id="11" xr3:uid="{6826E5E5-F042-41EB-84E6-4B5D19B8F801}" name="R$ S&amp;V" dataDxfId="421" dataCellStyle="Moeda">
      <calculatedColumnFormula>IFERROR(IF(Coordenadores10[[#This Row],[Coordenador]]="Raianne",IF($C$2=$AH$5,(IF(Coordenadores10[[#This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Premiação'!$Z$4:$AC$6,2,0),0))))*2,IF(Coordenadores10[[#This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Premiação'!$Z$4:$AC$6,2,0),0)))),IF($C$1=$AH$5,(IF(Coordenadores10[[#This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Premiação'!$Z$4:$AC$6,2,0),0))))*2,IF(Coordenadores10[[#This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Premiação'!$Z$4:$AC$6,2,0),0))))),0)</calculatedColumnFormula>
    </tableColumn>
    <tableColumn id="18" xr3:uid="{32AEF8F5-78F1-4BFF-8CF3-84DE6D0720F5}" name="% Treb" dataDxfId="420" dataCellStyle="Porcentagem">
      <calculatedColumnFormula>IFERROR(VLOOKUP(Coordenadores10[[#This Row],[Coordenador]],#REF!,2,0)/VLOOKUP(Coordenadores10[[#This Row],[Coordenador]],#REF!,4,0),0)</calculatedColumnFormula>
    </tableColumn>
    <tableColumn id="17" xr3:uid="{1836F125-B6B7-4F4E-9BDC-4112C91D0541}" name="R$ Treb" dataDxfId="419" dataCellStyle="Moeda">
      <calculatedColumnFormula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calculatedColumnFormula>
    </tableColumn>
    <tableColumn id="12" xr3:uid="{433C7C33-7844-4E01-B06C-553D0A45F961}" name="Master" dataDxfId="418" dataCellStyle="Moeda">
      <calculatedColumnFormula>IF(Coordenadores10[[#This Row],[Sell Out]]=0,0,IF($H$2&gt;=115%,300,IF($H$2&gt;=100%,200,IF($H$2&gt;=90%,100,0))))</calculatedColumnFormula>
    </tableColumn>
    <tableColumn id="13" xr3:uid="{A1FF7572-9AAB-41C1-A810-CC6EF664F4E9}" name="Gestor" dataDxfId="417" dataCellStyle="Moeda"/>
    <tableColumn id="14" xr3:uid="{B1E85097-8824-41A8-B151-75BFC7C22AC0}" name="% Dev" dataDxfId="416" dataCellStyle="Porcentagem">
      <calculatedColumnFormula>IFERROR(IFERROR(VLOOKUP(Coordenadores10[[#This Row],[Coordenador]],#REF!,6,0),0)/IFERROR(VLOOKUP(Coordenadores10[[#This Row],[Coordenador]],#REF!,5,0),0),0)</calculatedColumnFormula>
    </tableColumn>
    <tableColumn id="15" xr3:uid="{8F81415A-5886-4A13-9773-1552F87F9D3C}" name="R$ Dev" dataDxfId="415" dataCellStyle="Moeda">
      <calculatedColumnFormula>IF(AND(Coordenadores10[[#This Row],[% Dev]]&lt;=1.5%,Coordenadores10[[#This Row],[% Dev]]&lt;&gt;0),300,0)</calculatedColumnFormula>
    </tableColumn>
    <tableColumn id="16" xr3:uid="{C8B2E99A-520D-4D66-BA0F-316D84453F77}" name="Total" dataDxfId="414" dataCellStyle="Moeda">
      <calculatedColumnFormula>SUM(Coordenadores10[[#This Row],[R$ Avi]],Coordenadores10[[#This Row],[R$ Capp]],Coordenadores10[[#This Row],[R$ Fam]],Coordenadores10[[#This Row],[R$ S&amp;V]],Coordenadores10[[#This Row],[Master]],Coordenadores10[[#This Row],[Gestor]],Coordenadores10[[#This Row],[R$ Dev]],Coordenadores10[[#This Row],[R$ Treb]])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B2FB1F-3981-4596-98B3-4F1ACB4F085A}" name="Basef" displayName="Basef" ref="A1:P323" totalsRowShown="0">
  <autoFilter ref="A1:P323" xr:uid="{8FB2FB1F-3981-4596-98B3-4F1ACB4F085A}"/>
  <tableColumns count="16">
    <tableColumn id="1" xr3:uid="{B3457842-4726-4C16-A9C7-701FE60D718B}" name="Cod_Loja"/>
    <tableColumn id="2" xr3:uid="{0AF57DA7-A9F5-4F32-AA18-21CDB6203BF4}" name="Nome_Loja"/>
    <tableColumn id="3" xr3:uid="{B4027ED8-7896-48D9-8B39-C88090F805B6}" name="Regional"/>
    <tableColumn id="4" xr3:uid="{AC8E01B2-8BE2-4BC1-814A-BDCF96E162F7}" name="Fornecedor"/>
    <tableColumn id="5" xr3:uid="{32432C30-F45F-492A-8D77-2F8FB5512481}" name="Venda"/>
    <tableColumn id="6" xr3:uid="{36204BCD-2B22-4827-9931-EFE118C7D386}" name="Tendencia"/>
    <tableColumn id="7" xr3:uid="{066BB5F6-18F6-4644-85AE-131FA18F03C0}" name="META"/>
    <tableColumn id="8" xr3:uid="{14C575FD-DAB5-4874-BCA7-B744A2095A39}" name="MES"/>
    <tableColumn id="9" xr3:uid="{FE5C0C64-DECA-4386-8B52-A40B261AEAB1}" name="ANO"/>
    <tableColumn id="10" xr3:uid="{E95D8D05-FE50-494A-988A-F465BB5CAE58}" name="Promotor_Avine"/>
    <tableColumn id="11" xr3:uid="{FC50D377-8449-4191-8342-9D1C563D0240}" name="Promotor_Cappellaro"/>
    <tableColumn id="16" xr3:uid="{B6089071-912D-489D-99A5-74F76505A8F3}" name="Promotor_Famosa"/>
    <tableColumn id="15" xr3:uid="{922E727D-02B0-4F4F-B269-694BDF12824B}" name="Promotor_Pinheiro"/>
    <tableColumn id="13" xr3:uid="{DCD952DB-B935-4F25-BCB3-8149227D0B53}" name="Devolucao" dataDxfId="413"/>
    <tableColumn id="14" xr3:uid="{67824799-5BCD-4578-935B-1C84F523E028}" name="Cooredenador" dataDxfId="412">
      <calculatedColumnFormula>IFERROR(VLOOKUP(Basef[[#This Row],[Regional]],Tabela11[],2,0),"Vago")</calculatedColumnFormula>
    </tableColumn>
    <tableColumn id="12" xr3:uid="{C9B6D6F5-F5C0-473C-90FA-6F62EB9F1126}" name="Reg" dataDxfId="411">
      <calculatedColumnFormula>Basef[[#This Row],[Regional]]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BBAA44-F81D-4717-84CB-12BB8DD7AA13}" name="Tabela11" displayName="Tabela11" ref="R1:S8" totalsRowShown="0">
  <autoFilter ref="R1:S8" xr:uid="{D5BBAA44-F81D-4717-84CB-12BB8DD7AA13}"/>
  <tableColumns count="2">
    <tableColumn id="1" xr3:uid="{01E56FB1-EE93-4DA9-B0B7-88EE424999D7}" name="reg"/>
    <tableColumn id="2" xr3:uid="{D80E30C8-68D7-43B0-830A-7CA064743494}" name="coor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044C87-B8DB-4EC7-B6FB-A22AF1A0E836}" name="Promotores5" displayName="Promotores5" ref="A7:R39" totalsRowShown="0" headerRowDxfId="410" dataDxfId="409">
  <autoFilter ref="A7:R39" xr:uid="{E8078207-F39A-475F-B928-86675D82616A}"/>
  <sortState xmlns:xlrd2="http://schemas.microsoft.com/office/spreadsheetml/2017/richdata2" ref="A8:R39">
    <sortCondition ref="A7:A39"/>
  </sortState>
  <tableColumns count="18">
    <tableColumn id="1" xr3:uid="{B0BBA070-79EF-4F25-934B-21D0F725DB3C}" name="Promotor" dataDxfId="408"/>
    <tableColumn id="16" xr3:uid="{21BABB95-F22B-428C-8CA0-F8856F205B6C}" name="Sell Out" dataDxfId="407" dataCellStyle="Moeda">
      <calculatedColumnFormula>IFERROR(VLOOKUP(Promotores5[[#This Row],[Promotor]],#REF!,2,0),0)+IFERROR(VLOOKUP(Promotores5[[#This Row],[Promotor]],#REF!,2,0),0)+IFERROR(VLOOKUP(Promotores5[[#This Row],[Promotor]],#REF!,2,0),0)+IFERROR(VLOOKUP(Promotores5[[#This Row],[Promotor]],#REF!,2,0),0)</calculatedColumnFormula>
    </tableColumn>
    <tableColumn id="17" xr3:uid="{13D969BF-814F-481A-ACD4-E9BC6FFA22B4}" name="Nível" dataDxfId="406">
      <calculatedColumnFormula>IF(Promotores5[[#This Row],[Sell Out]]&gt;=300000,"A+",IF(Promotores5[[#This Row],[Sell Out]]&gt;=260000,"A",IF(Promotores5[[#This Row],[Sell Out]]&gt;=200000,"B","C")))</calculatedColumnFormula>
    </tableColumn>
    <tableColumn id="2" xr3:uid="{CCE794D6-8413-4D33-A3FC-46AC190A740C}" name="% Avi" dataDxfId="405" dataCellStyle="Porcentagem">
      <calculatedColumnFormula>IFERROR(IFERROR(VLOOKUP(Promotores5[[#This Row],[Promotor]],#REF!,2,0),0)/IFERROR(VLOOKUP(Promotores5[[#This Row],[Promotor]],#REF!,4,0),0),0)</calculatedColumnFormula>
    </tableColumn>
    <tableColumn id="3" xr3:uid="{CF96B1E2-323A-49FC-9B62-43C00D6285C7}" name="R$ Avi" dataDxfId="404" dataCellStyle="Moeda">
      <calculatedColumnFormula>IFERROR(IF(OR(VLOOKUP(A8,Rotas[[PROMOTOR]:[REGIONAL]],2,0)="Pará Sul",VLOOKUP(A8,Rotas[[PROMOTOR]:[REGIONAL]],2,0)="Pará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calculatedColumnFormula>
    </tableColumn>
    <tableColumn id="4" xr3:uid="{221B9897-C238-4F6F-BF55-3F7F2CA3FE0B}" name="% Capp" dataDxfId="403" dataCellStyle="Porcentagem">
      <calculatedColumnFormula>IFERROR(IFERROR(VLOOKUP(Promotores5[[#This Row],[Promotor]],#REF!,2,0),0)/IFERROR(VLOOKUP(Promotores5[[#This Row],[Promotor]],#REF!,4,0),0),0)</calculatedColumnFormula>
    </tableColumn>
    <tableColumn id="5" xr3:uid="{AEC92ADA-013A-4356-AB02-3F01B1C8B3A1}" name="R$ Capp" dataDxfId="402" dataCellStyle="Moeda">
      <calculatedColumnFormula>IFERROR(IF(OR(VLOOKUP(A8,Rotas[[PROMOTOR]:[REGIONAL]],2,0)="Pará Sul",VLOOKUP(A8,Rotas[[PROMOTOR]:[REGIONAL]],2,0)="Pará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calculatedColumnFormula>
    </tableColumn>
    <tableColumn id="6" xr3:uid="{5BD91471-D2C0-4903-987B-066A8918C0B7}" name="% Fam" dataDxfId="401" dataCellStyle="Porcentagem">
      <calculatedColumnFormula>IFERROR(IFERROR(VLOOKUP(Promotores5[[#This Row],[Promotor]],#REF!,2,0),0)/IFERROR(VLOOKUP(Promotores5[[#This Row],[Promotor]],#REF!,4,0),0),0)</calculatedColumnFormula>
    </tableColumn>
    <tableColumn id="7" xr3:uid="{5B87FBF9-BCD9-4AC8-93BD-97E816DD1BC9}" name="R$ Fam" dataDxfId="400" dataCellStyle="Moeda">
      <calculatedColumnFormula>IFERROR(IF(OR(VLOOKUP(A8,Rotas[[PROMOTOR]:[REGIONAL]],2,0)="Pará Sul",VLOOKUP(A8,Rotas[[PROMOTOR]:[REGIONAL]],2,0)="Pará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calculatedColumnFormula>
    </tableColumn>
    <tableColumn id="8" xr3:uid="{2B2F1B0C-B44D-4411-92CE-5B5A64245C1C}" name="% S&amp;V" dataDxfId="399" dataCellStyle="Porcentagem">
      <calculatedColumnFormula>IFERROR(IFERROR(VLOOKUP(Promotores5[[#This Row],[Promotor]],#REF!,2,0),0)/IFERROR(VLOOKUP(Promotores5[[#This Row],[Promotor]],#REF!,4,0),0),0)</calculatedColumnFormula>
    </tableColumn>
    <tableColumn id="9" xr3:uid="{57F896A8-2D33-477A-9ECA-71B6EAF82D5F}" name="R$ S&amp;V" dataDxfId="398" dataCellStyle="Moeda">
      <calculatedColumnFormula>IFERROR(IF(OR(VLOOKUP(A8,Rotas[[PROMOTOR]:[REGIONAL]],2,0)="Pará Sul",VLOOKUP(A8,Rotas[[PROMOTOR]:[REGIONAL]],2,0)="Pará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calculatedColumnFormula>
    </tableColumn>
    <tableColumn id="18" xr3:uid="{4A791904-7246-4E36-ACF9-D629FAB64990}" name="% Treb" dataDxfId="397" dataCellStyle="Porcentagem"/>
    <tableColumn id="15" xr3:uid="{ADEDD1CE-42CF-4C06-AE21-A33BFBA83226}" name="R$ Treb" dataDxfId="396" dataCellStyle="Moeda">
      <calculatedColumnFormula>IFERROR(IF(OR(VLOOKUP(A8,Rotas[[PROMOTOR]:[REGIONAL]],2,0)="Pará Sul",VLOOKUP(A8,Rotas[[PROMOTOR]:[REGIONAL]],2,0)="Pará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calculatedColumnFormula>
    </tableColumn>
    <tableColumn id="10" xr3:uid="{65E5FD95-4247-4673-9E2C-79161AB89586}" name="Master" dataDxfId="395" dataCellStyle="Moeda">
      <calculatedColumnFormula>IF(Promotores5[[#This Row],[Sell Out]]=0,0,IF($H$2&gt;=115%,225,IF($H$2&gt;=100%,150,IF($H$2&gt;=90%,75,0))))</calculatedColumnFormula>
    </tableColumn>
    <tableColumn id="11" xr3:uid="{A8D421CD-6241-486C-A01F-70941EC592BE}" name="Gestor" dataDxfId="394" dataCellStyle="Moeda"/>
    <tableColumn id="12" xr3:uid="{CF1E7C8C-F350-49B3-B0B0-EFBD5A473BAC}" name="% Dev" dataDxfId="393" dataCellStyle="Porcentagem">
      <calculatedColumnFormula>IFERROR(IFERROR(VLOOKUP(Promotores5[[#This Row],[Promotor]],#REF!,6,0),0)/IFERROR(VLOOKUP(Promotores5[[#This Row],[Promotor]],#REF!,5,0),0),0)</calculatedColumnFormula>
    </tableColumn>
    <tableColumn id="13" xr3:uid="{1E971B9C-AEB2-48B0-9E59-96B46103FF96}" name="R$ Dev" dataDxfId="392" dataCellStyle="Moeda">
      <calculatedColumnFormula>IF(AND(P8&lt;=1%,P8&lt;&gt;0),225,0)</calculatedColumnFormula>
    </tableColumn>
    <tableColumn id="14" xr3:uid="{8E91F619-DB53-4CDC-B2E3-8FC4B38D5D32}" name="Total+Treb" dataDxfId="391" dataCellStyle="Moeda">
      <calculatedColumnFormula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CB28C1-A7B8-469E-A613-FC3B2A323BA4}" name="Coordenadores6" displayName="Coordenadores6" ref="AA7:AP12" totalsRowShown="0" headerRowDxfId="390" dataDxfId="388" headerRowBorderDxfId="389" tableBorderDxfId="387">
  <autoFilter ref="AA7:AP12" xr:uid="{34108C98-086E-4F98-923B-0EFF34D507B0}"/>
  <tableColumns count="16">
    <tableColumn id="1" xr3:uid="{E838EE17-4E2A-4F7C-BFD8-6FAA69EAC78A}" name="Coordenador" dataDxfId="386"/>
    <tableColumn id="2" xr3:uid="{1D570463-56E1-4F39-AC38-08DA51F1F863}" name="Sell Out" dataDxfId="385" dataCellStyle="Moeda">
      <calculatedColumnFormula>IFERROR(VLOOKUP(Coordenadores6[[#This Row],[Coordenador]],#REF!,2,0)+VLOOKUP(Coordenadores6[[#This Row],[Coordenador]],#REF!,2,0)+VLOOKUP(Coordenadores6[[#This Row],[Coordenador]],#REF!,2,0)+VLOOKUP(Coordenadores6[[#This Row],[Coordenador]],#REF!,2,0),0)</calculatedColumnFormula>
    </tableColumn>
    <tableColumn id="3" xr3:uid="{F8B58E46-AC8F-479C-BC85-811043AAE57A}" name="Nível" dataDxfId="384">
      <calculatedColumnFormula>IF(Coordenadores6[[#This Row],[Sell Out]]&gt;=1750000,"A+",IF(Coordenadores6[[#This Row],[Sell Out]]&gt;=1000000,"A","B"))</calculatedColumnFormula>
    </tableColumn>
    <tableColumn id="4" xr3:uid="{8AEDB468-E628-4934-883D-CBC3477E66CC}" name="% Avi" dataDxfId="383" dataCellStyle="Porcentagem">
      <calculatedColumnFormula>IFERROR(VLOOKUP(Coordenadores6[[#This Row],[Coordenador]],#REF!,2,0)/VLOOKUP(Coordenadores6[[#This Row],[Coordenador]],#REF!,4,0),0)</calculatedColumnFormula>
    </tableColumn>
    <tableColumn id="5" xr3:uid="{52227749-BAFC-44C7-93D8-5BFC9004D32D}" name="R$ Avi" dataDxfId="382" dataCellStyle="Moeda">
      <calculatedColumnFormula>IFERROR(IF(Coordenadores6[[#This Row],[Coordenador]]="Raianne",IF($C$2=$AE$5,(IF(Coordenadores6[[#This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Premiação'!$Z$4:$AC$6,2,0),0)))),IF($C$1=$AE$5,(IF(Coordenadores6[[#This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Premiação'!$Z$4:$AC$6,2,0),0))))),0)</calculatedColumnFormula>
    </tableColumn>
    <tableColumn id="6" xr3:uid="{2F90644C-8964-4C9D-9BB1-B04535B6A263}" name="% Capp" dataDxfId="381" dataCellStyle="Porcentagem">
      <calculatedColumnFormula>IFERROR(VLOOKUP(Coordenadores6[[#This Row],[Coordenador]],#REF!,2,0)/VLOOKUP(Coordenadores6[[#This Row],[Coordenador]],#REF!,4,0),0)</calculatedColumnFormula>
    </tableColumn>
    <tableColumn id="7" xr3:uid="{C1A5511F-6608-430B-A35C-808ADC405671}" name="R$ Capp" dataDxfId="380" dataCellStyle="Moeda">
      <calculatedColumnFormula>IFERROR(IF(Coordenadores6[[#This Row],[Coordenador]]="Raianne",IF($C$2=$AG$5,(IF(Coordenadores6[[#This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Premiação'!$Z$4:$AC$6,2,0),0)))),IF($C$1=$AG$5,(IF(Coordenadores6[[#This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Premiação'!$Z$4:$AC$6,2,0),0))))),0)</calculatedColumnFormula>
    </tableColumn>
    <tableColumn id="8" xr3:uid="{163CD2A1-25CB-418C-962E-520CBD7D17CB}" name="% Fam" dataDxfId="379" dataCellStyle="Porcentagem">
      <calculatedColumnFormula>IFERROR(VLOOKUP(Coordenadores6[[#This Row],[Coordenador]],#REF!,2,0)/VLOOKUP(Coordenadores6[[#This Row],[Coordenador]],#REF!,4,0),0)</calculatedColumnFormula>
    </tableColumn>
    <tableColumn id="9" xr3:uid="{323795F3-D838-46D7-BE3B-10B415F3D827}" name="R$ Fam" dataDxfId="378" dataCellStyle="Moeda">
      <calculatedColumnFormula>IFERROR(IF(Coordenadores6[[#This Row],[Coordenador]]="Raianne",IF($C$2=$AI$5,(IF(Coordenadores6[[#This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Premiação'!$Z$4:$AC$6,2,0),0)))),IF($C$1=$AI$5,(IF(Coordenadores6[[#This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Premiação'!$Z$4:$AC$6,2,0),0))))),0)</calculatedColumnFormula>
    </tableColumn>
    <tableColumn id="10" xr3:uid="{3A172C02-2BFC-4D49-8B34-D23980246BA6}" name="% S&amp;V" dataDxfId="377" dataCellStyle="Porcentagem">
      <calculatedColumnFormula>IFERROR(VLOOKUP(Coordenadores6[[#This Row],[Coordenador]],#REF!,2,0)/VLOOKUP(Coordenadores6[[#This Row],[Coordenador]],#REF!,4,0),0)</calculatedColumnFormula>
    </tableColumn>
    <tableColumn id="11" xr3:uid="{448754DE-9092-4B91-83F5-56ECDE290DFC}" name="R$ S&amp;V" dataDxfId="376" dataCellStyle="Moeda">
      <calculatedColumnFormula>IFERROR(IF(Coordenadores6[[#This Row],[Coordenador]]="Raianne",IF($C$2=$AK$5,(IF(Coordenadores6[[#This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Premiação'!$Z$4:$AC$6,2,0),0)))),IF($C$1=$AK$5,(IF(Coordenadores6[[#This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Premiação'!$Z$4:$AC$6,2,0),0))))),0)</calculatedColumnFormula>
    </tableColumn>
    <tableColumn id="12" xr3:uid="{AB3ECC9B-950B-47E2-BDD5-5100AC90F00A}" name="Master" dataDxfId="375" dataCellStyle="Moeda">
      <calculatedColumnFormula>IF(Coordenadores6[[#This Row],[Sell Out]]=0,0,IF($H$2&gt;=115%,300,IF($H$2&gt;=100%,200,IF($H$2&gt;=90%,100,0))))</calculatedColumnFormula>
    </tableColumn>
    <tableColumn id="13" xr3:uid="{0455B367-5A1F-416C-AB08-0F817FD7B555}" name="Gestor" dataDxfId="374" dataCellStyle="Moeda"/>
    <tableColumn id="14" xr3:uid="{595DC2A6-9D07-41F8-9FD7-4D81DCBEFE10}" name="% Dev" dataDxfId="373" dataCellStyle="Porcentagem">
      <calculatedColumnFormula>IFERROR(IFERROR(VLOOKUP(Coordenadores6[[#This Row],[Coordenador]],#REF!,6,0),0)/IFERROR(VLOOKUP(Coordenadores6[[#This Row],[Coordenador]],#REF!,5,0),0),0)</calculatedColumnFormula>
    </tableColumn>
    <tableColumn id="15" xr3:uid="{F0AEFA2B-F503-4B6C-8C7C-2F464C2C5E17}" name="R$ Dev" dataDxfId="372" dataCellStyle="Moeda">
      <calculatedColumnFormula>IF(AND(Coordenadores6[[#This Row],[% Dev]]&lt;=1%,Coordenadores6[[#This Row],[% Dev]]&lt;&gt;0),225,0)</calculatedColumnFormula>
    </tableColumn>
    <tableColumn id="16" xr3:uid="{1CA9F96B-D427-4125-A1E1-F4B8A881195A}" name="Total" dataDxfId="371" dataCellStyle="Moeda">
      <calculatedColumnFormula>SUM(Coordenadores6[[#This Row],[R$ Avi]],Coordenadores6[[#This Row],[R$ Capp]],Coordenadores6[[#This Row],[R$ Fam]],Coordenadores6[[#This Row],[R$ S&amp;V]],Coordenadores6[[#This Row],[Master]],Coordenadores6[[#This Row],[Gestor]],Coordenadores6[[#This Row],[R$ Dev]])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78207-F39A-475F-B928-86675D82616A}" name="Promotores" displayName="Promotores" ref="A7:S84" totalsRowShown="0" headerRowDxfId="370" dataDxfId="369" dataCellStyle="Moeda">
  <autoFilter ref="A7:S84" xr:uid="{E8078207-F39A-475F-B928-86675D82616A}"/>
  <tableColumns count="19">
    <tableColumn id="1" xr3:uid="{3E3B3B0A-8662-45AE-BDCD-DCBD47AE7619}" name="Promotor" dataDxfId="368"/>
    <tableColumn id="16" xr3:uid="{36148A1C-64C0-4286-B846-146F6ABF48CF}" name="Sell Out" dataDxfId="367" dataCellStyle="Moeda">
      <calculatedColumnFormula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calculatedColumnFormula>
    </tableColumn>
    <tableColumn id="17" xr3:uid="{208E9416-75EE-43BC-BF6F-6D8BC6A7C261}" name="Nível" dataDxfId="366">
      <calculatedColumnFormula>IF(Promotores[[#This Row],[Sell Out]]&gt;=300000,"A+",IF(Promotores[[#This Row],[Sell Out]]&gt;=260000,"A",IF(Promotores[[#This Row],[Sell Out]]&gt;=200000,"B","C")))</calculatedColumnFormula>
    </tableColumn>
    <tableColumn id="2" xr3:uid="{99295FC7-89F1-4293-985C-3118EAE93DDD}" name="% Avi" dataDxfId="365" dataCellStyle="Porcentagem">
      <calculatedColumnFormula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calculatedColumnFormula>
    </tableColumn>
    <tableColumn id="3" xr3:uid="{F142C068-0E0E-4B3B-8C26-218C97D450BC}" name="R$ Avi" dataDxfId="364" dataCellStyle="Moeda">
      <calculatedColumnFormula>IFERROR(IF(Promotores[[#This Row],[% Avi]]&lt;90%,0,VLOOKUP(Promotores[[#This Row],[Nível]],'Regras Premiação'!$T$4:$W$7,IF(Promotores[[#This Row],[% Avi]]&lt;100%,2,IF(Promotores[[#This Row],[% Avi]]&lt;115%,3,4)),0)),0)</calculatedColumnFormula>
    </tableColumn>
    <tableColumn id="4" xr3:uid="{9E0B1D31-6A0B-4CCA-ADB6-893BA39179E9}" name="% Capp" dataDxfId="363" dataCellStyle="Porcentagem">
      <calculatedColumnFormula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calculatedColumnFormula>
    </tableColumn>
    <tableColumn id="5" xr3:uid="{7B6B7385-979B-4EF4-BA1F-62A543011305}" name="R$ Capp" dataDxfId="362" dataCellStyle="Moeda">
      <calculatedColumnFormula>IFERROR(IF(Promotores[[#This Row],[% Capp]]&lt;90%,0,VLOOKUP(Promotores[[#This Row],[Nível]],'Regras Premiação'!$T$4:$W$7,IF(Promotores[[#This Row],[% Capp]]&lt;100%,2,IF(Promotores[[#This Row],[% Capp]]&lt;115%,3,4)),0)),0)</calculatedColumnFormula>
    </tableColumn>
    <tableColumn id="6" xr3:uid="{16B74531-03F1-4DE7-95ED-0210D61C6026}" name="% Fam" dataDxfId="361" dataCellStyle="Porcentagem">
      <calculatedColumnFormula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calculatedColumnFormula>
    </tableColumn>
    <tableColumn id="7" xr3:uid="{5C7229E6-0D59-4469-A1F8-FD1F6C458CFE}" name="R$ Fam" dataDxfId="360" dataCellStyle="Moeda">
      <calculatedColumnFormula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calculatedColumnFormula>
    </tableColumn>
    <tableColumn id="8" xr3:uid="{3DB13C84-156D-438C-BC08-62E1FCD9EE3B}" name="% Pinh" dataDxfId="359" dataCellStyle="Porcentagem">
      <calculatedColumnFormula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calculatedColumnFormula>
    </tableColumn>
    <tableColumn id="9" xr3:uid="{8B302F86-2633-46F2-A1F9-5D931C197273}" name="R$ Pinh" dataDxfId="358" dataCellStyle="Moeda">
      <calculatedColumnFormula>IFERROR(IF(Promotores[[#This Row],[% Pinh]]&lt;90%,0,VLOOKUP(Promotores[[#This Row],[Nível]],'Regras Premiação'!$T$4:$W$7,IF(Promotores[[#This Row],[% Pinh]]&lt;100%,2,IF(Promotores[[#This Row],[% Pinh]]&lt;115%,3,4)),0)),0)</calculatedColumnFormula>
    </tableColumn>
    <tableColumn id="10" xr3:uid="{D5291E77-FD1E-45C4-A434-D73DED140B00}" name="Master" dataDxfId="357" dataCellStyle="Moeda">
      <calculatedColumnFormula>IFERROR(IF(Promotores[[#This Row],[Sell Out]]=0,0,IF($H$2&gt;=115%,225,IF($H$2&gt;=100%,150,IF($H$2&gt;=90%,75,0)))),0)</calculatedColumnFormula>
    </tableColumn>
    <tableColumn id="11" xr3:uid="{C6A3F651-16E7-4400-BB93-940309E04BBB}" name="R$ APP" dataDxfId="356" dataCellStyle="Moeda">
      <calculatedColumnFormula>IF(Promotores[[#This Row],[Sell Out]]=0,0,IFERROR(IF(Promotores[[#This Row],[% App]]&gt;=100%,225,IF(Promotores[[#This Row],[% App]]&gt;=90%,112.5,0)),0))</calculatedColumnFormula>
    </tableColumn>
    <tableColumn id="12" xr3:uid="{699DBEF0-77E6-4425-9076-7552FA90F4DD}" name="% Dev" dataDxfId="355" dataCellStyle="Porcentagem">
      <calculatedColumnFormula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calculatedColumnFormula>
    </tableColumn>
    <tableColumn id="13" xr3:uid="{FF5470AD-D31C-4E04-8614-5D6EDF0D5F96}" name="R$ Dev" dataDxfId="354" dataCellStyle="Moeda">
      <calculatedColumnFormula>IF(AND(N8&lt;=1.5%,Promotores[[#This Row],[Sell Out]]&gt;0,Promotores[[#This Row],[% Avi]]&lt;&gt;0),225,0)</calculatedColumnFormula>
    </tableColumn>
    <tableColumn id="14" xr3:uid="{8484AE40-E3E7-4FC0-AD4C-9E0ABC5B0E97}" name="Total" dataDxfId="353" dataCellStyle="Moeda">
      <calculatedColumnFormula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calculatedColumnFormula>
    </tableColumn>
    <tableColumn id="19" xr3:uid="{EF5F9D26-20F8-4BBD-A469-9F8CD9268AAE}" name="Regional" dataDxfId="352" dataCellStyle="Moeda">
      <calculatedColumnFormula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calculatedColumnFormula>
    </tableColumn>
    <tableColumn id="20" xr3:uid="{FA646DD9-F9B4-48B6-BCEA-F4370674363E}" name="% App" dataDxfId="351" dataCellStyle="Porcentagem">
      <calculatedColumnFormula>IFERROR(VLOOKUP(Promotores[[#This Row],[Promotor]],Base_APP[[Promotor]:[%]],6,0),"")</calculatedColumnFormula>
    </tableColumn>
    <tableColumn id="22" xr3:uid="{563A9C14-CFD7-4591-B43C-B3ECFA7080B2}" name="Marca" dataDxfId="350" dataCellStyle="Moeda">
      <calculatedColumnFormula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108C98-086E-4F98-923B-0EFF34D507B0}" name="Coordenadores" displayName="Coordenadores" ref="U7:AL13" totalsRowShown="0" headerRowDxfId="349" dataDxfId="347" headerRowBorderDxfId="348" tableBorderDxfId="346">
  <autoFilter ref="U7:AL13" xr:uid="{34108C98-086E-4F98-923B-0EFF34D507B0}"/>
  <tableColumns count="18">
    <tableColumn id="1" xr3:uid="{D6F81349-4435-4B3F-861B-6B355992BD9A}" name="Coordenador" dataDxfId="345"/>
    <tableColumn id="2" xr3:uid="{313C02E5-A8F5-4C60-9568-8300E9B22B31}" name="Sell Out" dataDxfId="344" dataCellStyle="Moeda">
      <calculatedColumnFormula>SUMIFS(Basef[Tendencia],Basef[Cooredenador],Coordenadores[[#This Row],[Coordenador]])</calculatedColumnFormula>
    </tableColumn>
    <tableColumn id="3" xr3:uid="{96828B27-7285-475F-B305-F7E69545BD50}" name="Nível" dataDxfId="343">
      <calculatedColumnFormula>IF(Coordenadores[[#This Row],[Sell Out]]&gt;=1750000,"A+",IF(Coordenadores[[#This Row],[Sell Out]]&gt;=1000000,"A","B"))</calculatedColumnFormula>
    </tableColumn>
    <tableColumn id="4" xr3:uid="{F6380541-50AA-41E5-81A7-6F49D0FD1746}" name="Avine" dataDxfId="342" dataCellStyle="Porcentagem">
      <calculatedColumnFormula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calculatedColumnFormula>
    </tableColumn>
    <tableColumn id="5" xr3:uid="{D498A445-40EE-46C3-901A-F51166473EF2}" name="R$ Avi" dataDxfId="341" dataCellStyle="Moeda">
      <calculatedColumnFormula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calculatedColumnFormula>
    </tableColumn>
    <tableColumn id="6" xr3:uid="{4B380409-8F62-40B2-9001-B28B8D2F180E}" name="Cappellaro" dataDxfId="340" dataCellStyle="Porcentagem">
      <calculatedColumnFormula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calculatedColumnFormula>
    </tableColumn>
    <tableColumn id="7" xr3:uid="{2D730A09-0C4F-43A7-9D81-49CA083C8D71}" name="R$ Capp" dataDxfId="339" dataCellStyle="Moeda">
      <calculatedColumnFormula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calculatedColumnFormula>
    </tableColumn>
    <tableColumn id="8" xr3:uid="{129E7D29-A9D1-4D13-878B-E1EA4A741C86}" name="Famosa" dataDxfId="338" dataCellStyle="Porcentagem">
      <calculatedColumnFormula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calculatedColumnFormula>
    </tableColumn>
    <tableColumn id="9" xr3:uid="{66DF634B-D03D-4DF3-BEC1-B07122B58FDD}" name="R$ Fam" dataDxfId="337" dataCellStyle="Moeda">
      <calculatedColumnFormula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calculatedColumnFormula>
    </tableColumn>
    <tableColumn id="10" xr3:uid="{FF965214-9E1D-4D85-B7B4-EC1F56B80DCF}" name="% S&amp;V" dataDxfId="336" dataCellStyle="Porcentagem">
      <calculatedColumnFormula>IFERROR(VLOOKUP(Coordenadores[[#This Row],[Coordenador]],#REF!,2,0)/VLOOKUP(Coordenadores[[#This Row],[Coordenador]],#REF!,4,0),0)</calculatedColumnFormula>
    </tableColumn>
    <tableColumn id="11" xr3:uid="{7D12A645-DD96-414A-93F1-1915096B4D4E}" name="R$ S&amp;V" dataDxfId="335" dataCellStyle="Moeda">
      <calculatedColumnFormula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calculatedColumnFormula>
    </tableColumn>
    <tableColumn id="18" xr3:uid="{56991596-EDA3-472E-B08C-4590FABC9B97}" name="% Treb" dataDxfId="334" dataCellStyle="Porcentagem">
      <calculatedColumnFormula>IFERROR(VLOOKUP(Coordenadores[[#This Row],[Coordenador]],#REF!,2,0)/VLOOKUP(Coordenadores[[#This Row],[Coordenador]],#REF!,4,0),0)</calculatedColumnFormula>
    </tableColumn>
    <tableColumn id="17" xr3:uid="{D737A2F3-9F9B-4759-B567-035A80A764F5}" name="R$ Treb" dataDxfId="333" dataCellStyle="Moeda">
      <calculatedColumnFormula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calculatedColumnFormula>
    </tableColumn>
    <tableColumn id="12" xr3:uid="{AB59D531-C05F-40AC-8C0F-3F999AEC9EB8}" name="Master" dataDxfId="332" dataCellStyle="Moeda">
      <calculatedColumnFormula>IF(Coordenadores[[#This Row],[Sell Out]]=0,0,IF($H$2&gt;=115%,300,IF($H$2&gt;=100%,200,IF($H$2&gt;=90%,100,0))))</calculatedColumnFormula>
    </tableColumn>
    <tableColumn id="13" xr3:uid="{41A300A8-7FC8-44C8-989B-6580078A3AD8}" name="Gestor" dataDxfId="331" dataCellStyle="Moeda"/>
    <tableColumn id="14" xr3:uid="{4FCA629D-834D-45F9-AB29-134D241FD1B0}" name="% Dev" dataDxfId="330" dataCellStyle="Porcentagem">
      <calculatedColumnFormula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calculatedColumnFormula>
    </tableColumn>
    <tableColumn id="15" xr3:uid="{F8C7CB6B-01A9-4EF3-A430-94FEF22CD8F2}" name="R$ Dev" dataDxfId="329" dataCellStyle="Moeda">
      <calculatedColumnFormula>IF(AND(Coordenadores[[#This Row],[% Dev]]&lt;=1.5%,Coordenadores[[#This Row],[% Dev]]&lt;&gt;0),300,0)</calculatedColumnFormula>
    </tableColumn>
    <tableColumn id="16" xr3:uid="{81887814-BC94-4677-AE9A-72457D18A06A}" name="Total" dataDxfId="328" dataCellStyle="Moeda">
      <calculatedColumnFormula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2136D1-B4C7-42EB-955A-479F7EDB03E7}" name="Assistentes" displayName="Assistentes" ref="U23:AL24" totalsRowShown="0" headerRowDxfId="327" dataDxfId="325" headerRowBorderDxfId="326" tableBorderDxfId="324" totalsRowBorderDxfId="323" dataCellStyle="Moeda">
  <autoFilter ref="U23:AL24" xr:uid="{CC2136D1-B4C7-42EB-955A-479F7EDB03E7}"/>
  <tableColumns count="18">
    <tableColumn id="1" xr3:uid="{CF454A44-563B-454F-A60C-E0BA81E3597C}" name="Assistente" dataDxfId="322"/>
    <tableColumn id="2" xr3:uid="{EB67DB5B-210F-46B4-AE92-870F9F002846}" name="Sell Out" dataDxfId="321" dataCellStyle="Moeda"/>
    <tableColumn id="3" xr3:uid="{9A1B37D4-D852-4D42-AB9D-55A63E0E332E}" name="Nível" dataDxfId="320"/>
    <tableColumn id="4" xr3:uid="{C5A73EAE-95E1-4C02-A137-C4BF11990BF4}" name="Avine" dataDxfId="319" dataCellStyle="Porcentagem">
      <calculatedColumnFormula>$X$18</calculatedColumnFormula>
    </tableColumn>
    <tableColumn id="5" xr3:uid="{5E454AB4-0AD9-41ED-9A14-A3C25698385F}" name="R$ Avi" dataDxfId="318" dataCellStyle="Moeda">
      <calculatedColumnFormula>IF(X24&lt;90%,0,IF(X24&gt;=115%,250,IF(X24&gt;=100%,200,100)))</calculatedColumnFormula>
    </tableColumn>
    <tableColumn id="6" xr3:uid="{C901E849-7515-41C6-B16D-756813F3F95A}" name="Cappellaro" dataDxfId="317" dataCellStyle="Porcentagem">
      <calculatedColumnFormula>$Z$18</calculatedColumnFormula>
    </tableColumn>
    <tableColumn id="7" xr3:uid="{2466FD3D-44EF-4DE3-B91B-FE24E78230D3}" name="R$ Capp" dataDxfId="316" dataCellStyle="Moeda">
      <calculatedColumnFormula>IF(Z24&lt;90%,0,IF(Z24&gt;=115%,250,IF(Z24&gt;=100%,200,100)))</calculatedColumnFormula>
    </tableColumn>
    <tableColumn id="8" xr3:uid="{DFE02F96-E6D1-40DE-81E7-E21B4AECF681}" name="Famosa" dataDxfId="315" dataCellStyle="Porcentagem">
      <calculatedColumnFormula>$AB$18</calculatedColumnFormula>
    </tableColumn>
    <tableColumn id="9" xr3:uid="{FE4C4DA0-9833-4E4E-8CC1-705A111BDD72}" name="R$ Fam" dataDxfId="314" dataCellStyle="Moeda">
      <calculatedColumnFormula>IF(AB24&lt;90%,0,IF(AB24&gt;=115%,250,IF(AB24&gt;=100%,200,100)))</calculatedColumnFormula>
    </tableColumn>
    <tableColumn id="10" xr3:uid="{02BBA171-D6C4-47B1-9946-187A58F2776C}" name="% S&amp;V" dataDxfId="313" dataCellStyle="Porcentagem"/>
    <tableColumn id="11" xr3:uid="{0A41A832-53DC-4992-9CA9-6F7F5E324B8A}" name="R$ S&amp;V" dataDxfId="312" dataCellStyle="Moeda"/>
    <tableColumn id="12" xr3:uid="{8B569428-0ACC-46BE-B167-C8AC2C5C4823}" name="% Treb" dataDxfId="311" dataCellStyle="Porcentagem"/>
    <tableColumn id="13" xr3:uid="{1FF14228-A456-4920-8EE1-D9D72BE457DF}" name="R$ Treb" dataDxfId="310" dataCellStyle="Moeda"/>
    <tableColumn id="14" xr3:uid="{585F5EEB-C141-479C-A974-DA8221E3D8FB}" name="Master" dataDxfId="309" dataCellStyle="Moeda">
      <calculatedColumnFormula>IF($H$2&gt;=115%,225,IF($H$2&gt;=100%,150,IF($H$2&gt;=90%,75,0)))</calculatedColumnFormula>
    </tableColumn>
    <tableColumn id="15" xr3:uid="{30B7A34C-C8A4-404C-9951-9BAAE78FCB32}" name="Gestor" dataDxfId="308" dataCellStyle="Moeda"/>
    <tableColumn id="16" xr3:uid="{6CC2F353-6090-4E7E-A145-C9D742699DC9}" name="% Dev" dataDxfId="307" dataCellStyle="Porcentagem">
      <calculatedColumnFormula>$AJ$18</calculatedColumnFormula>
    </tableColumn>
    <tableColumn id="17" xr3:uid="{7B7ED93D-AE66-4FB4-8BC8-2503F828E6A8}" name="R$ Dev" dataDxfId="306" dataCellStyle="Moeda">
      <calculatedColumnFormula>IF(AJ24&lt;=1.5%,250,0)</calculatedColumnFormula>
    </tableColumn>
    <tableColumn id="18" xr3:uid="{B6C6634A-77E5-415E-805D-AA6DB7D1D55D}" name="Total" dataDxfId="305" dataCellStyle="Moeda">
      <calculatedColumnFormula>AK24+AH24+AA24+Y24+AI24+AC24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6086D59-080B-4393-9339-0E84FE786322}" name="Supervisores" displayName="Supervisores" ref="U16:AL18" totalsRowShown="0" headerRowDxfId="304" dataDxfId="302" headerRowBorderDxfId="303" tableBorderDxfId="301" totalsRowBorderDxfId="300" dataCellStyle="Moeda">
  <autoFilter ref="U16:AL18" xr:uid="{16086D59-080B-4393-9339-0E84FE786322}"/>
  <tableColumns count="18">
    <tableColumn id="1" xr3:uid="{71607E15-4D93-4C23-A302-63B1F0BE9BAB}" name="Surpevisor" dataDxfId="299"/>
    <tableColumn id="2" xr3:uid="{2BE6BA50-07E2-4674-AC32-E4E2123A6A9A}" name="Sell Out" dataDxfId="298" dataCellStyle="Moeda">
      <calculatedColumnFormula>SUM(Basef[Tendencia])</calculatedColumnFormula>
    </tableColumn>
    <tableColumn id="3" xr3:uid="{8C4BC48C-FA79-4DAE-8C65-37258FCDC77C}" name="Nível" dataDxfId="297"/>
    <tableColumn id="4" xr3:uid="{2B002E5D-7EF4-4235-8EBD-0BE80C6FA8DF}" name="Avine" dataDxfId="296" dataCellStyle="Porcentagem">
      <calculatedColumnFormula>SUMIFS(Basef[Tendencia],Basef[Fornecedor],X$16)/SUMIFS(Basef[META],Basef[Fornecedor],X$16)</calculatedColumnFormula>
    </tableColumn>
    <tableColumn id="5" xr3:uid="{41848556-131C-459D-8551-DE57F7821018}" name="R$ Avi" dataDxfId="295" dataCellStyle="Moeda">
      <calculatedColumnFormula>IF(X17&lt;90%,0,IF(X17&gt;=115%,440,IF(X17&gt;=100%,350,175)))</calculatedColumnFormula>
    </tableColumn>
    <tableColumn id="6" xr3:uid="{F1294E91-EBA2-4391-A01A-0C68EB4EE761}" name="Cappellaro" dataDxfId="294" dataCellStyle="Porcentagem">
      <calculatedColumnFormula>SUMIFS(Basef[Tendencia],Basef[Fornecedor],Z$16)/SUMIFS(Basef[META],Basef[Fornecedor],Z$16)</calculatedColumnFormula>
    </tableColumn>
    <tableColumn id="7" xr3:uid="{26F79B21-ED8F-4D4E-80EB-32774E2BDD8B}" name="R$ Capp" dataDxfId="293" dataCellStyle="Moeda">
      <calculatedColumnFormula>IF(Z17&lt;90%,0,IF(Z17&gt;=115%,440,IF(Z17&gt;=100%,350,175)))</calculatedColumnFormula>
    </tableColumn>
    <tableColumn id="8" xr3:uid="{3CC3CCF6-A5F7-48E8-9171-A1F4B9C3E049}" name="Famosa" dataDxfId="292" dataCellStyle="Porcentagem">
      <calculatedColumnFormula>IFERROR(SUMIFS(Basef[Tendencia],Basef[Fornecedor],AB$16)/SUMIFS(Basef[META],Basef[Fornecedor],AB$16),0)</calculatedColumnFormula>
    </tableColumn>
    <tableColumn id="9" xr3:uid="{07529181-AE7F-46D3-A228-04DAC71DEB5A}" name="R$ Fam" dataDxfId="291" dataCellStyle="Moeda">
      <calculatedColumnFormula>IF(AB17&lt;90%,0,IF(AB17&gt;=115%,440,IF(AB17&gt;=100%,350,175)))</calculatedColumnFormula>
    </tableColumn>
    <tableColumn id="10" xr3:uid="{71F4EF50-0950-41EC-8F19-A2E6DEC106A3}" name="% S&amp;V" dataDxfId="290" dataCellStyle="Porcentagem">
      <calculatedColumnFormula>IFERROR(VLOOKUP(Coordenadores[[#This Row],[Coordenador]],#REF!,2,0)/VLOOKUP(Coordenadores[[#This Row],[Coordenador]],#REF!,4,0),0)</calculatedColumnFormula>
    </tableColumn>
    <tableColumn id="11" xr3:uid="{AD70F449-A17A-4AB9-BFD2-807CBBA3D32F}" name="R$ S&amp;V" dataDxfId="289" dataCellStyle="Moeda">
      <calculatedColumnFormula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calculatedColumnFormula>
    </tableColumn>
    <tableColumn id="12" xr3:uid="{316B2950-7456-4757-9C7C-EF6F263C10E1}" name="% Treb" dataDxfId="288" dataCellStyle="Porcentagem">
      <calculatedColumnFormula>IFERROR(VLOOKUP(Coordenadores[[#This Row],[Coordenador]],#REF!,2,0)/VLOOKUP(Coordenadores[[#This Row],[Coordenador]],#REF!,4,0),0)</calculatedColumnFormula>
    </tableColumn>
    <tableColumn id="13" xr3:uid="{16A64580-8988-4E41-AB0A-DE517708D31D}" name="R$ Treb" dataDxfId="287" dataCellStyle="Moeda">
      <calculatedColumnFormula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calculatedColumnFormula>
    </tableColumn>
    <tableColumn id="14" xr3:uid="{1DDD2961-4335-40B2-9104-CA5AE646C3FD}" name="Master" dataDxfId="286" dataCellStyle="Moeda">
      <calculatedColumnFormula>IF($H$2&gt;=115%,360,IF($H$2&gt;=100%,250,IF($H$2&gt;=90%,130,0)))</calculatedColumnFormula>
    </tableColumn>
    <tableColumn id="15" xr3:uid="{3D0CA352-8E9E-40F2-B1EC-A561741E092E}" name="Gestor" dataDxfId="285" dataCellStyle="Moeda"/>
    <tableColumn id="16" xr3:uid="{6E305C7B-C6EE-431E-893E-E1E64320EDBE}" name="% Dev" dataDxfId="284" dataCellStyle="Porcentagem">
      <calculatedColumnFormula>IFERROR(SUMIFS(Basef[Devolucao],Basef[Fornecedor],"Avine")/SUMIFS(Basef[Tendencia],Basef[Fornecedor],"Avine"),0)</calculatedColumnFormula>
    </tableColumn>
    <tableColumn id="17" xr3:uid="{4E125AD1-97FA-4326-999E-9A2C702A3EB7}" name="R$ Dev" dataDxfId="283" dataCellStyle="Moeda">
      <calculatedColumnFormula>IF(AJ17&lt;=1.5%,400,0)</calculatedColumnFormula>
    </tableColumn>
    <tableColumn id="18" xr3:uid="{3D1CEC97-D7C7-413E-B799-1DFDD34C5148}" name="Total" dataDxfId="282" dataCellStyle="Moeda">
      <calculatedColumnFormula>AK17+AH17+AA17+Y17+AI17+AC17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FDE97B-98E9-4B2F-A71F-6AF082227E27}" name="Assistentes16" displayName="Assistentes16" ref="U26:AL27" totalsRowShown="0" headerRowDxfId="281" dataDxfId="279" headerRowBorderDxfId="280" tableBorderDxfId="278" totalsRowBorderDxfId="277" dataCellStyle="Moeda">
  <autoFilter ref="U26:AL27" xr:uid="{55FDE97B-98E9-4B2F-A71F-6AF082227E27}"/>
  <tableColumns count="18">
    <tableColumn id="1" xr3:uid="{595181E6-DBDC-4F8C-AFD3-0CC1C177C367}" name="Auxiliar" dataDxfId="276"/>
    <tableColumn id="2" xr3:uid="{813B0F61-23BE-4F98-A7F2-5306B8486E35}" name="Sell Out" dataDxfId="275" dataCellStyle="Moeda"/>
    <tableColumn id="3" xr3:uid="{BB60B7CE-E02A-49D4-A578-91AB3C6402CC}" name="Nível" dataDxfId="274"/>
    <tableColumn id="4" xr3:uid="{03EC860C-31D2-4EA5-91DD-A801B15A317F}" name="Avine" dataDxfId="273" dataCellStyle="Porcentagem">
      <calculatedColumnFormula>$X$18</calculatedColumnFormula>
    </tableColumn>
    <tableColumn id="5" xr3:uid="{13F723DF-7B5F-467A-91E5-2D8D6FDB8D9E}" name="R$ Avi" dataDxfId="272" dataCellStyle="Moeda">
      <calculatedColumnFormula>IF(X27&lt;90%,0,IF(X27&gt;=115%,225,IF(X27&gt;=100%,150,75)))</calculatedColumnFormula>
    </tableColumn>
    <tableColumn id="6" xr3:uid="{C50E647A-7637-4DA4-8D71-1FCCCF19C92E}" name="Cappellaro" dataDxfId="271" dataCellStyle="Porcentagem">
      <calculatedColumnFormula>$Z$18</calculatedColumnFormula>
    </tableColumn>
    <tableColumn id="7" xr3:uid="{ED1BC734-4808-4638-B0ED-A702526516C1}" name="R$ Capp" dataDxfId="270" dataCellStyle="Moeda">
      <calculatedColumnFormula>IF(Z27&lt;90%,0,IF(Z27&gt;=115%,225,IF(Z27&gt;=100%,150,75)))</calculatedColumnFormula>
    </tableColumn>
    <tableColumn id="8" xr3:uid="{B0306166-AF02-44C8-A7B5-C9092029A58E}" name="Famosa" dataDxfId="269" dataCellStyle="Porcentagem">
      <calculatedColumnFormula>$AB$18</calculatedColumnFormula>
    </tableColumn>
    <tableColumn id="9" xr3:uid="{32BDE034-7730-4E38-82AF-7120AB291F16}" name="R$ Fam" dataDxfId="268" dataCellStyle="Moeda">
      <calculatedColumnFormula>IF(AB27&lt;90%,0,IF(AB27&gt;=115%,225,IF(AB27&gt;=100%,150,75)))</calculatedColumnFormula>
    </tableColumn>
    <tableColumn id="10" xr3:uid="{4DF7698F-08EC-4E87-A71C-95C2B09F7B8F}" name="% S&amp;V" dataDxfId="267" dataCellStyle="Porcentagem"/>
    <tableColumn id="11" xr3:uid="{671EF25D-99AE-4AA1-9444-A6146E1A921A}" name="R$ S&amp;V" dataDxfId="266" dataCellStyle="Moeda"/>
    <tableColumn id="12" xr3:uid="{327DCBEF-2FDA-4B0E-86DB-45C83816F963}" name="% Treb" dataDxfId="265" dataCellStyle="Porcentagem"/>
    <tableColumn id="13" xr3:uid="{B3B2768A-21C4-4BBE-BC05-DEBAD4B4ABBA}" name="R$ Treb" dataDxfId="264" dataCellStyle="Moeda"/>
    <tableColumn id="14" xr3:uid="{7BCC0C4F-6B4A-40C6-B380-D42D3B662C1D}" name="Master" dataDxfId="263" dataCellStyle="Moeda">
      <calculatedColumnFormula>IF($H$2&gt;=115%,225,IF($H$2&gt;=100%,150,IF($H$2&gt;=90%,75,0)))</calculatedColumnFormula>
    </tableColumn>
    <tableColumn id="15" xr3:uid="{28B394B1-FC89-407D-A2D4-D105DD45CDB1}" name="Gestor" dataDxfId="262" dataCellStyle="Moeda"/>
    <tableColumn id="16" xr3:uid="{90C00E50-AD1C-4D43-AC54-4A80F78F05FF}" name="% Dev" dataDxfId="261" dataCellStyle="Porcentagem">
      <calculatedColumnFormula>$AJ$18</calculatedColumnFormula>
    </tableColumn>
    <tableColumn id="17" xr3:uid="{FF60175F-D919-4018-BF75-D6DA829C4116}" name="R$ Dev" dataDxfId="260" dataCellStyle="Moeda">
      <calculatedColumnFormula>IF(AJ27&lt;=1.5%,225,0)</calculatedColumnFormula>
    </tableColumn>
    <tableColumn id="18" xr3:uid="{223533BA-3948-4C99-A6EE-DA13618B70CE}" name="Total" dataDxfId="259" dataCellStyle="Moeda">
      <calculatedColumnFormula>IF(Assistentes16[[#This Row],[Auxiliar]]="",0,AK27+AH27+AA27+Y27+AI27+AC27)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0AA6-8684-46B4-B613-5F77655B34AD}">
  <dimension ref="A1:AS136"/>
  <sheetViews>
    <sheetView showGridLines="0" topLeftCell="A12" zoomScale="115" zoomScaleNormal="115" workbookViewId="0">
      <selection activeCell="D37" sqref="D37"/>
    </sheetView>
  </sheetViews>
  <sheetFormatPr defaultRowHeight="14.4" x14ac:dyDescent="0.3"/>
  <cols>
    <col min="1" max="1" width="7.44140625" bestFit="1" customWidth="1"/>
    <col min="3" max="3" width="22.88671875" bestFit="1" customWidth="1"/>
    <col min="4" max="4" width="35.33203125" bestFit="1" customWidth="1"/>
    <col min="5" max="7" width="12.109375" bestFit="1" customWidth="1"/>
    <col min="8" max="8" width="10.5546875" bestFit="1" customWidth="1"/>
    <col min="9" max="9" width="7.44140625" bestFit="1" customWidth="1"/>
    <col min="10" max="10" width="2.109375" customWidth="1"/>
    <col min="11" max="11" width="22.88671875" bestFit="1" customWidth="1"/>
    <col min="12" max="12" width="30.6640625" bestFit="1" customWidth="1"/>
    <col min="13" max="15" width="12.88671875" bestFit="1" customWidth="1"/>
    <col min="16" max="16" width="8.6640625" hidden="1" customWidth="1"/>
    <col min="17" max="17" width="12.88671875" hidden="1" customWidth="1"/>
    <col min="18" max="18" width="1.5546875" customWidth="1"/>
    <col min="19" max="19" width="8.6640625" customWidth="1"/>
    <col min="20" max="20" width="20.88671875" bestFit="1" customWidth="1"/>
    <col min="21" max="23" width="11.33203125" bestFit="1" customWidth="1"/>
    <col min="24" max="24" width="12.6640625" customWidth="1"/>
    <col min="25" max="25" width="5.5546875" customWidth="1"/>
    <col min="26" max="26" width="15.109375" bestFit="1" customWidth="1"/>
    <col min="27" max="30" width="11.6640625" bestFit="1" customWidth="1"/>
    <col min="31" max="31" width="7.44140625" bestFit="1" customWidth="1"/>
    <col min="33" max="33" width="22.88671875" bestFit="1" customWidth="1"/>
    <col min="34" max="34" width="29.109375" bestFit="1" customWidth="1"/>
    <col min="35" max="37" width="12.109375" bestFit="1" customWidth="1"/>
    <col min="39" max="39" width="7.44140625" bestFit="1" customWidth="1"/>
    <col min="40" max="40" width="11.88671875" bestFit="1" customWidth="1"/>
    <col min="41" max="41" width="22.88671875" bestFit="1" customWidth="1"/>
    <col min="42" max="42" width="29.109375" bestFit="1" customWidth="1"/>
    <col min="43" max="45" width="12.109375" bestFit="1" customWidth="1"/>
  </cols>
  <sheetData>
    <row r="1" spans="1:45" ht="15" thickBot="1" x14ac:dyDescent="0.35"/>
    <row r="2" spans="1:45" ht="18.600000000000001" thickBot="1" x14ac:dyDescent="0.4">
      <c r="A2" s="9"/>
      <c r="B2" s="10"/>
      <c r="C2" s="11" t="s">
        <v>22</v>
      </c>
      <c r="D2" s="11" t="s">
        <v>607</v>
      </c>
      <c r="E2" s="12" t="s">
        <v>23</v>
      </c>
      <c r="F2" s="12">
        <v>1500</v>
      </c>
      <c r="G2" s="13" t="s">
        <v>24</v>
      </c>
      <c r="I2" s="9"/>
      <c r="J2" s="10"/>
      <c r="K2" s="11" t="s">
        <v>25</v>
      </c>
      <c r="L2" s="11" t="s">
        <v>26</v>
      </c>
      <c r="M2" s="12" t="s">
        <v>23</v>
      </c>
      <c r="N2" s="12">
        <v>2000</v>
      </c>
      <c r="O2" s="14"/>
      <c r="T2" s="4" t="s">
        <v>27</v>
      </c>
      <c r="U2" s="204" t="s">
        <v>28</v>
      </c>
      <c r="V2" s="205"/>
      <c r="W2" s="206"/>
      <c r="X2" s="93"/>
      <c r="Z2" s="15" t="s">
        <v>29</v>
      </c>
      <c r="AA2" s="204" t="s">
        <v>28</v>
      </c>
      <c r="AB2" s="205"/>
      <c r="AC2" s="206"/>
      <c r="AE2" s="9"/>
      <c r="AF2" s="10"/>
      <c r="AG2" s="11" t="s">
        <v>429</v>
      </c>
      <c r="AH2" s="11" t="s">
        <v>430</v>
      </c>
      <c r="AI2" s="207" t="s">
        <v>585</v>
      </c>
      <c r="AJ2" s="208"/>
      <c r="AK2" s="209"/>
      <c r="AL2" s="122"/>
      <c r="AM2" s="9"/>
      <c r="AN2" s="10"/>
      <c r="AO2" s="11" t="s">
        <v>431</v>
      </c>
      <c r="AP2" s="11" t="s">
        <v>430</v>
      </c>
      <c r="AQ2" s="207" t="s">
        <v>585</v>
      </c>
      <c r="AR2" s="208"/>
      <c r="AS2" s="209"/>
    </row>
    <row r="3" spans="1:45" ht="15" thickBot="1" x14ac:dyDescent="0.35">
      <c r="A3" s="16" t="s">
        <v>30</v>
      </c>
      <c r="B3" s="1"/>
      <c r="C3" s="1" t="s">
        <v>31</v>
      </c>
      <c r="D3" s="1"/>
      <c r="E3" s="1"/>
      <c r="F3" s="1"/>
      <c r="G3" s="17"/>
      <c r="I3" s="16" t="s">
        <v>30</v>
      </c>
      <c r="J3" s="1"/>
      <c r="K3" s="1" t="s">
        <v>31</v>
      </c>
      <c r="L3" s="1"/>
      <c r="M3" s="1"/>
      <c r="N3" s="1"/>
      <c r="O3" s="17"/>
      <c r="T3" s="4" t="s">
        <v>32</v>
      </c>
      <c r="U3" s="18">
        <v>0.9</v>
      </c>
      <c r="V3" s="18">
        <v>1</v>
      </c>
      <c r="W3" s="19">
        <v>1.1499999999999999</v>
      </c>
      <c r="X3" s="109"/>
      <c r="Z3" s="4" t="s">
        <v>32</v>
      </c>
      <c r="AA3" s="18">
        <v>0.9</v>
      </c>
      <c r="AB3" s="18">
        <v>1</v>
      </c>
      <c r="AC3" s="19">
        <v>1.1499999999999999</v>
      </c>
      <c r="AE3" s="16" t="s">
        <v>30</v>
      </c>
      <c r="AF3" s="1"/>
      <c r="AG3" s="1" t="s">
        <v>31</v>
      </c>
      <c r="AH3" s="1"/>
      <c r="AI3" s="1"/>
      <c r="AJ3" s="1"/>
      <c r="AK3" s="17"/>
      <c r="AL3" s="1"/>
      <c r="AM3" s="16" t="s">
        <v>30</v>
      </c>
      <c r="AN3" s="1"/>
      <c r="AO3" s="1" t="s">
        <v>31</v>
      </c>
      <c r="AP3" s="1"/>
      <c r="AQ3" s="1"/>
      <c r="AR3" s="1"/>
      <c r="AS3" s="17"/>
    </row>
    <row r="4" spans="1:45" x14ac:dyDescent="0.3">
      <c r="A4" s="16" t="s">
        <v>33</v>
      </c>
      <c r="B4" s="1"/>
      <c r="C4" s="1" t="s">
        <v>34</v>
      </c>
      <c r="D4" s="1"/>
      <c r="E4" s="20">
        <v>0.9</v>
      </c>
      <c r="F4" s="20">
        <v>1</v>
      </c>
      <c r="G4" s="21">
        <v>1.1499999999999999</v>
      </c>
      <c r="I4" s="16" t="s">
        <v>33</v>
      </c>
      <c r="J4" s="1"/>
      <c r="K4" s="1" t="s">
        <v>34</v>
      </c>
      <c r="L4" s="1"/>
      <c r="M4" s="20">
        <v>0.9</v>
      </c>
      <c r="N4" s="20">
        <v>1</v>
      </c>
      <c r="O4" s="21">
        <v>1.1499999999999999</v>
      </c>
      <c r="T4" s="22" t="s">
        <v>24</v>
      </c>
      <c r="U4" s="23">
        <f>E19</f>
        <v>100</v>
      </c>
      <c r="V4" s="23">
        <f>F19</f>
        <v>200</v>
      </c>
      <c r="W4" s="24">
        <f>G19</f>
        <v>270</v>
      </c>
      <c r="X4" s="32"/>
      <c r="Z4" s="25" t="s">
        <v>24</v>
      </c>
      <c r="AA4" s="26">
        <v>135</v>
      </c>
      <c r="AB4" s="26">
        <v>270</v>
      </c>
      <c r="AC4" s="27">
        <v>350</v>
      </c>
      <c r="AE4" s="16" t="s">
        <v>33</v>
      </c>
      <c r="AF4" s="1"/>
      <c r="AG4" s="1" t="s">
        <v>34</v>
      </c>
      <c r="AH4" s="1"/>
      <c r="AI4" s="20">
        <v>0.9</v>
      </c>
      <c r="AJ4" s="20">
        <v>1</v>
      </c>
      <c r="AK4" s="21">
        <v>1.1499999999999999</v>
      </c>
      <c r="AL4" s="20"/>
      <c r="AM4" s="16" t="s">
        <v>33</v>
      </c>
      <c r="AN4" s="1"/>
      <c r="AO4" s="1" t="s">
        <v>34</v>
      </c>
      <c r="AP4" s="1"/>
      <c r="AQ4" s="20">
        <v>0.9</v>
      </c>
      <c r="AR4" s="20">
        <v>1</v>
      </c>
      <c r="AS4" s="21">
        <v>1.1499999999999999</v>
      </c>
    </row>
    <row r="5" spans="1:45" ht="15.6" x14ac:dyDescent="0.3">
      <c r="A5" s="16"/>
      <c r="B5" s="1"/>
      <c r="C5" s="1" t="s">
        <v>35</v>
      </c>
      <c r="D5" s="1" t="s">
        <v>36</v>
      </c>
      <c r="E5" s="20">
        <f t="shared" ref="E5:G10" si="0">E18/$F$29</f>
        <v>6.25E-2</v>
      </c>
      <c r="F5" s="20">
        <f t="shared" si="0"/>
        <v>0.125</v>
      </c>
      <c r="G5" s="21">
        <f t="shared" si="0"/>
        <v>0.1875</v>
      </c>
      <c r="H5" s="28"/>
      <c r="I5" s="16"/>
      <c r="J5" s="1"/>
      <c r="K5" s="1" t="s">
        <v>35</v>
      </c>
      <c r="L5" s="1" t="s">
        <v>36</v>
      </c>
      <c r="M5" s="20">
        <v>0.05</v>
      </c>
      <c r="N5" s="20">
        <v>0.1</v>
      </c>
      <c r="O5" s="21">
        <v>0.15</v>
      </c>
      <c r="Q5" s="29"/>
      <c r="R5" s="30"/>
      <c r="S5" s="30"/>
      <c r="T5" s="106" t="s">
        <v>37</v>
      </c>
      <c r="U5" s="32">
        <f>E47</f>
        <v>85</v>
      </c>
      <c r="V5" s="32">
        <f>F47</f>
        <v>170</v>
      </c>
      <c r="W5" s="33">
        <f>G47</f>
        <v>200</v>
      </c>
      <c r="X5" s="32"/>
      <c r="Y5" s="29"/>
      <c r="Z5" s="31" t="s">
        <v>37</v>
      </c>
      <c r="AA5" s="26">
        <v>112.5</v>
      </c>
      <c r="AB5" s="26">
        <v>225</v>
      </c>
      <c r="AC5" s="27">
        <v>270</v>
      </c>
      <c r="AE5" s="16"/>
      <c r="AF5" s="1"/>
      <c r="AG5" s="68" t="s">
        <v>35</v>
      </c>
      <c r="AH5" s="68" t="s">
        <v>36</v>
      </c>
      <c r="AI5" s="111">
        <v>130</v>
      </c>
      <c r="AJ5" s="111">
        <v>250</v>
      </c>
      <c r="AK5" s="112">
        <v>360</v>
      </c>
      <c r="AL5" s="111"/>
      <c r="AM5" s="16"/>
      <c r="AN5" s="1"/>
      <c r="AO5" s="68" t="s">
        <v>35</v>
      </c>
      <c r="AP5" s="124" t="s">
        <v>36</v>
      </c>
      <c r="AQ5" s="127">
        <f>MROUND(AI5/$AK5*$AS5,10)</f>
        <v>180</v>
      </c>
      <c r="AR5" s="127">
        <f>MROUND(AJ5/$AK5*$AS5,10)</f>
        <v>350</v>
      </c>
      <c r="AS5" s="128">
        <v>500</v>
      </c>
    </row>
    <row r="6" spans="1:45" ht="16.2" thickBot="1" x14ac:dyDescent="0.35">
      <c r="A6" s="16"/>
      <c r="B6" s="1"/>
      <c r="C6" s="1" t="s">
        <v>38</v>
      </c>
      <c r="D6" s="1" t="s">
        <v>39</v>
      </c>
      <c r="E6" s="20">
        <f t="shared" si="0"/>
        <v>8.3333333333333329E-2</v>
      </c>
      <c r="F6" s="20">
        <f t="shared" si="0"/>
        <v>0.16666666666666666</v>
      </c>
      <c r="G6" s="21">
        <f t="shared" si="0"/>
        <v>0.22500000000000001</v>
      </c>
      <c r="H6" s="35"/>
      <c r="I6" s="16"/>
      <c r="J6" s="1"/>
      <c r="K6" s="1" t="s">
        <v>38</v>
      </c>
      <c r="L6" s="1" t="s">
        <v>39</v>
      </c>
      <c r="M6" s="34">
        <v>7.4999999999999997E-2</v>
      </c>
      <c r="N6" s="20">
        <v>0.15</v>
      </c>
      <c r="O6" s="21">
        <v>0.2</v>
      </c>
      <c r="P6" s="36"/>
      <c r="Q6" s="36"/>
      <c r="R6" s="36"/>
      <c r="S6" s="36"/>
      <c r="T6" s="107" t="s">
        <v>40</v>
      </c>
      <c r="U6" s="32">
        <f>E76</f>
        <v>70</v>
      </c>
      <c r="V6" s="32">
        <f>F76</f>
        <v>140</v>
      </c>
      <c r="W6" s="33">
        <f>G76</f>
        <v>175</v>
      </c>
      <c r="X6" s="32"/>
      <c r="Y6" s="36"/>
      <c r="Z6" s="38" t="s">
        <v>40</v>
      </c>
      <c r="AA6" s="39">
        <v>85</v>
      </c>
      <c r="AB6" s="39">
        <v>170</v>
      </c>
      <c r="AC6" s="40">
        <v>220</v>
      </c>
      <c r="AE6" s="16"/>
      <c r="AF6" s="1"/>
      <c r="AG6" s="68" t="s">
        <v>38</v>
      </c>
      <c r="AH6" s="68" t="s">
        <v>39</v>
      </c>
      <c r="AI6" s="111">
        <v>175</v>
      </c>
      <c r="AJ6" s="111">
        <v>350</v>
      </c>
      <c r="AK6" s="112">
        <v>440</v>
      </c>
      <c r="AL6" s="111"/>
      <c r="AM6" s="16"/>
      <c r="AN6" s="1"/>
      <c r="AO6" s="68" t="s">
        <v>38</v>
      </c>
      <c r="AP6" s="124" t="s">
        <v>39</v>
      </c>
      <c r="AQ6" s="127">
        <f t="shared" ref="AQ6:AQ8" si="1">MROUND(AI6/$AK6*$AS6,10)</f>
        <v>200</v>
      </c>
      <c r="AR6" s="127">
        <f t="shared" ref="AR6:AR8" si="2">MROUND(AJ6/$AK6*$AS6,10)</f>
        <v>400</v>
      </c>
      <c r="AS6" s="128">
        <v>500</v>
      </c>
    </row>
    <row r="7" spans="1:45" ht="16.2" thickBot="1" x14ac:dyDescent="0.35">
      <c r="A7" s="16"/>
      <c r="B7" s="1"/>
      <c r="C7" s="1" t="s">
        <v>41</v>
      </c>
      <c r="D7" s="1" t="s">
        <v>42</v>
      </c>
      <c r="E7" s="20">
        <f t="shared" si="0"/>
        <v>8.3333333333333329E-2</v>
      </c>
      <c r="F7" s="20">
        <f t="shared" si="0"/>
        <v>0.16666666666666666</v>
      </c>
      <c r="G7" s="21">
        <f t="shared" si="0"/>
        <v>0.22500000000000001</v>
      </c>
      <c r="H7" s="35"/>
      <c r="I7" s="16"/>
      <c r="J7" s="1"/>
      <c r="K7" s="1" t="s">
        <v>41</v>
      </c>
      <c r="L7" s="1" t="s">
        <v>42</v>
      </c>
      <c r="M7" s="34">
        <v>0.15</v>
      </c>
      <c r="N7" s="20">
        <v>0.3</v>
      </c>
      <c r="O7" s="21">
        <v>0.4</v>
      </c>
      <c r="P7" s="41"/>
      <c r="Q7" s="42"/>
      <c r="R7" s="41"/>
      <c r="S7" s="41"/>
      <c r="T7" s="108" t="s">
        <v>43</v>
      </c>
      <c r="U7" s="44">
        <f>E105</f>
        <v>50</v>
      </c>
      <c r="V7" s="44">
        <f>F105</f>
        <v>100</v>
      </c>
      <c r="W7" s="45">
        <f>G105</f>
        <v>125</v>
      </c>
      <c r="X7" s="32"/>
      <c r="Y7" s="46"/>
      <c r="Z7" s="42"/>
      <c r="AA7" s="42"/>
      <c r="AE7" s="16"/>
      <c r="AF7" s="1"/>
      <c r="AG7" s="68" t="s">
        <v>41</v>
      </c>
      <c r="AH7" s="68" t="s">
        <v>42</v>
      </c>
      <c r="AI7" s="111">
        <v>175</v>
      </c>
      <c r="AJ7" s="111">
        <v>350</v>
      </c>
      <c r="AK7" s="112">
        <v>440</v>
      </c>
      <c r="AL7" s="111"/>
      <c r="AM7" s="16"/>
      <c r="AN7" s="1"/>
      <c r="AO7" s="68" t="str">
        <f>AG7</f>
        <v>C:</v>
      </c>
      <c r="AP7" s="124" t="s">
        <v>42</v>
      </c>
      <c r="AQ7" s="127">
        <f t="shared" si="1"/>
        <v>200</v>
      </c>
      <c r="AR7" s="127">
        <f t="shared" si="2"/>
        <v>400</v>
      </c>
      <c r="AS7" s="128">
        <v>500</v>
      </c>
    </row>
    <row r="8" spans="1:45" ht="15.6" x14ac:dyDescent="0.3">
      <c r="A8" s="16"/>
      <c r="B8" s="1"/>
      <c r="C8" s="1" t="s">
        <v>44</v>
      </c>
      <c r="D8" s="1" t="s">
        <v>45</v>
      </c>
      <c r="E8" s="20">
        <f t="shared" si="0"/>
        <v>8.3333333333333329E-2</v>
      </c>
      <c r="F8" s="20">
        <f t="shared" si="0"/>
        <v>0.16666666666666666</v>
      </c>
      <c r="G8" s="21">
        <f t="shared" si="0"/>
        <v>0.22500000000000001</v>
      </c>
      <c r="H8" s="35"/>
      <c r="I8" s="16"/>
      <c r="J8" s="1"/>
      <c r="K8" s="1"/>
      <c r="L8" s="1"/>
      <c r="M8" s="34"/>
      <c r="N8" s="20"/>
      <c r="O8" s="21"/>
      <c r="P8" s="41"/>
      <c r="Q8" s="42"/>
      <c r="R8" s="41"/>
      <c r="S8" s="41"/>
      <c r="T8" s="74"/>
      <c r="U8" s="32"/>
      <c r="V8" s="32"/>
      <c r="W8" s="32"/>
      <c r="X8" s="32"/>
      <c r="Y8" s="46"/>
      <c r="Z8" s="42"/>
      <c r="AA8" s="42"/>
      <c r="AE8" s="16"/>
      <c r="AF8" s="1"/>
      <c r="AG8" s="68" t="s">
        <v>44</v>
      </c>
      <c r="AH8" s="68" t="s">
        <v>45</v>
      </c>
      <c r="AI8" s="111">
        <v>175</v>
      </c>
      <c r="AJ8" s="111">
        <v>350</v>
      </c>
      <c r="AK8" s="112">
        <v>440</v>
      </c>
      <c r="AL8" s="111"/>
      <c r="AM8" s="16"/>
      <c r="AN8" s="1"/>
      <c r="AO8" s="68" t="s">
        <v>44</v>
      </c>
      <c r="AP8" s="68" t="s">
        <v>45</v>
      </c>
      <c r="AQ8" s="111">
        <f t="shared" si="1"/>
        <v>200</v>
      </c>
      <c r="AR8" s="111">
        <f t="shared" si="2"/>
        <v>400</v>
      </c>
      <c r="AS8" s="128">
        <v>500</v>
      </c>
    </row>
    <row r="9" spans="1:45" ht="15.6" x14ac:dyDescent="0.3">
      <c r="A9" s="16"/>
      <c r="B9" s="1"/>
      <c r="C9" s="1" t="s">
        <v>50</v>
      </c>
      <c r="D9" s="1" t="s">
        <v>51</v>
      </c>
      <c r="E9" s="20">
        <f t="shared" si="0"/>
        <v>0</v>
      </c>
      <c r="F9" s="20">
        <f t="shared" si="0"/>
        <v>0</v>
      </c>
      <c r="G9" s="21">
        <f t="shared" si="0"/>
        <v>0</v>
      </c>
      <c r="H9" s="35"/>
      <c r="I9" s="16"/>
      <c r="J9" s="1"/>
      <c r="K9" s="1" t="s">
        <v>44</v>
      </c>
      <c r="L9" s="1" t="s">
        <v>45</v>
      </c>
      <c r="M9" s="34">
        <v>7.4999999999999997E-2</v>
      </c>
      <c r="N9" s="20">
        <v>0.15</v>
      </c>
      <c r="O9" s="21">
        <v>0.2</v>
      </c>
      <c r="P9" s="41"/>
      <c r="Q9" s="42"/>
      <c r="R9" s="41"/>
      <c r="S9" s="41"/>
      <c r="T9" s="42"/>
      <c r="U9" s="41"/>
      <c r="V9" s="42"/>
      <c r="W9" s="42"/>
      <c r="X9" s="42"/>
      <c r="Y9" s="46"/>
      <c r="Z9" s="42"/>
      <c r="AA9" s="42"/>
      <c r="AE9" s="16">
        <v>2</v>
      </c>
      <c r="AF9" s="47"/>
      <c r="AG9" s="68" t="s">
        <v>432</v>
      </c>
      <c r="AH9" s="68" t="s">
        <v>39</v>
      </c>
      <c r="AI9" s="111">
        <v>400</v>
      </c>
      <c r="AJ9" s="111">
        <v>400</v>
      </c>
      <c r="AK9" s="112">
        <v>400</v>
      </c>
      <c r="AL9" s="111"/>
      <c r="AM9" s="16">
        <v>2</v>
      </c>
      <c r="AN9" s="47"/>
      <c r="AO9" s="68" t="s">
        <v>432</v>
      </c>
      <c r="AP9" s="124" t="s">
        <v>39</v>
      </c>
      <c r="AQ9" s="127">
        <v>500</v>
      </c>
      <c r="AR9" s="127">
        <v>500</v>
      </c>
      <c r="AS9" s="128">
        <v>500</v>
      </c>
    </row>
    <row r="10" spans="1:45" ht="15.6" x14ac:dyDescent="0.3">
      <c r="A10" s="16"/>
      <c r="B10" s="1"/>
      <c r="C10" s="1" t="s">
        <v>342</v>
      </c>
      <c r="D10" s="1" t="s">
        <v>343</v>
      </c>
      <c r="E10" s="20">
        <f t="shared" si="0"/>
        <v>0</v>
      </c>
      <c r="F10" s="20">
        <f t="shared" si="0"/>
        <v>0</v>
      </c>
      <c r="G10" s="21">
        <f t="shared" si="0"/>
        <v>0</v>
      </c>
      <c r="H10" s="35"/>
      <c r="I10" s="16"/>
      <c r="J10" s="1"/>
      <c r="K10" s="1"/>
      <c r="L10" s="1"/>
      <c r="M10" s="34"/>
      <c r="N10" s="20"/>
      <c r="O10" s="21"/>
      <c r="P10" s="41"/>
      <c r="Q10" s="42"/>
      <c r="R10" s="41"/>
      <c r="S10" s="41"/>
      <c r="T10" s="42"/>
      <c r="U10" s="41"/>
      <c r="V10" s="42"/>
      <c r="W10" s="42"/>
      <c r="X10" s="42"/>
      <c r="Y10" s="46"/>
      <c r="Z10" s="42"/>
      <c r="AA10" s="42"/>
      <c r="AE10" s="16"/>
      <c r="AF10" s="47"/>
      <c r="AG10" s="68"/>
      <c r="AH10" s="68"/>
      <c r="AI10" s="68"/>
      <c r="AJ10" s="68"/>
      <c r="AK10" s="114"/>
      <c r="AL10" s="68"/>
      <c r="AM10" s="16"/>
      <c r="AN10" s="47"/>
      <c r="AO10" s="68"/>
      <c r="AP10" s="113"/>
      <c r="AQ10" s="1"/>
      <c r="AR10" s="1"/>
      <c r="AS10" s="17"/>
    </row>
    <row r="11" spans="1:45" ht="16.2" thickBot="1" x14ac:dyDescent="0.35">
      <c r="A11" s="16"/>
      <c r="B11" s="47"/>
      <c r="C11" s="1"/>
      <c r="D11" s="1"/>
      <c r="E11" s="20"/>
      <c r="F11" s="1"/>
      <c r="G11" s="17"/>
      <c r="H11" s="48"/>
      <c r="I11" s="16"/>
      <c r="J11" s="47"/>
      <c r="K11" s="1"/>
      <c r="L11" s="1"/>
      <c r="M11" s="1"/>
      <c r="N11" s="1"/>
      <c r="O11" s="17"/>
      <c r="P11" s="41"/>
      <c r="Q11" s="42"/>
      <c r="R11" s="41"/>
      <c r="S11" s="41"/>
      <c r="T11" s="42"/>
      <c r="U11" s="41"/>
      <c r="V11" s="42"/>
      <c r="W11" s="42"/>
      <c r="X11" s="42"/>
      <c r="Y11" s="46"/>
      <c r="Z11" s="42"/>
      <c r="AA11" s="42"/>
      <c r="AE11" s="16">
        <v>3</v>
      </c>
      <c r="AF11" s="1"/>
      <c r="AG11" s="68" t="s">
        <v>49</v>
      </c>
      <c r="AH11" s="68" t="s">
        <v>36</v>
      </c>
      <c r="AI11" s="111">
        <v>400</v>
      </c>
      <c r="AJ11" s="111">
        <v>400</v>
      </c>
      <c r="AK11" s="112">
        <v>400</v>
      </c>
      <c r="AL11" s="111"/>
      <c r="AM11" s="16">
        <v>3</v>
      </c>
      <c r="AN11" s="1"/>
      <c r="AO11" s="68" t="s">
        <v>49</v>
      </c>
      <c r="AP11" s="113" t="s">
        <v>36</v>
      </c>
      <c r="AQ11" s="127">
        <v>565</v>
      </c>
      <c r="AR11" s="127">
        <v>565</v>
      </c>
      <c r="AS11" s="128">
        <v>565</v>
      </c>
    </row>
    <row r="12" spans="1:45" ht="16.2" thickBot="1" x14ac:dyDescent="0.35">
      <c r="A12" s="16">
        <v>2</v>
      </c>
      <c r="B12" s="47"/>
      <c r="C12" s="1" t="s">
        <v>46</v>
      </c>
      <c r="D12" s="1" t="s">
        <v>39</v>
      </c>
      <c r="E12" s="20">
        <f>E25/$F$29</f>
        <v>0.1875</v>
      </c>
      <c r="F12" s="20">
        <f>F25/$F$29</f>
        <v>0.1875</v>
      </c>
      <c r="G12" s="21">
        <f>G25/$F$29</f>
        <v>0.1875</v>
      </c>
      <c r="H12" s="48"/>
      <c r="I12" s="16">
        <v>2</v>
      </c>
      <c r="J12" s="47"/>
      <c r="K12" s="1" t="s">
        <v>47</v>
      </c>
      <c r="L12" s="1" t="s">
        <v>39</v>
      </c>
      <c r="M12" s="20">
        <v>0.15</v>
      </c>
      <c r="N12" s="20">
        <v>0.15</v>
      </c>
      <c r="O12" s="21">
        <v>0.15</v>
      </c>
      <c r="P12" s="41"/>
      <c r="Q12" s="42"/>
      <c r="R12" s="41"/>
      <c r="S12" s="41"/>
      <c r="T12" s="220" t="s">
        <v>48</v>
      </c>
      <c r="U12" s="221"/>
      <c r="V12" s="221"/>
      <c r="W12" s="222"/>
      <c r="X12" s="41"/>
      <c r="Y12" s="42"/>
      <c r="Z12" s="42"/>
      <c r="AA12" s="42"/>
      <c r="AE12" s="16"/>
      <c r="AF12" s="1"/>
      <c r="AG12" s="68"/>
      <c r="AH12" s="68"/>
      <c r="AI12" s="68"/>
      <c r="AJ12" s="68"/>
      <c r="AK12" s="114"/>
      <c r="AL12" s="68"/>
      <c r="AM12" s="16"/>
      <c r="AN12" s="1"/>
      <c r="AO12" s="68"/>
      <c r="AP12" s="113"/>
      <c r="AQ12" s="113"/>
      <c r="AR12" s="113"/>
      <c r="AS12" s="115"/>
    </row>
    <row r="13" spans="1:45" ht="15" thickBot="1" x14ac:dyDescent="0.35">
      <c r="A13" s="16"/>
      <c r="B13" s="47"/>
      <c r="C13" s="1"/>
      <c r="D13" s="1"/>
      <c r="E13" s="20"/>
      <c r="F13" s="1"/>
      <c r="G13" s="17"/>
      <c r="H13" s="48"/>
      <c r="I13" s="16"/>
      <c r="J13" s="47"/>
      <c r="K13" s="1"/>
      <c r="L13" s="1"/>
      <c r="M13" s="1"/>
      <c r="N13" s="1"/>
      <c r="O13" s="17"/>
      <c r="T13" s="15" t="s">
        <v>324</v>
      </c>
      <c r="U13" s="138">
        <v>0.9</v>
      </c>
      <c r="V13" s="138">
        <v>1</v>
      </c>
      <c r="W13" s="139">
        <v>1.1499999999999999</v>
      </c>
      <c r="X13" s="20"/>
      <c r="AE13" s="54"/>
      <c r="AF13" s="55"/>
      <c r="AG13" s="116"/>
      <c r="AH13" s="116" t="s">
        <v>17</v>
      </c>
      <c r="AI13" s="117">
        <f>SUM(AI5:AI11)</f>
        <v>1455</v>
      </c>
      <c r="AJ13" s="117">
        <f>SUM(AJ5:AJ11)</f>
        <v>2100</v>
      </c>
      <c r="AK13" s="118">
        <f>SUM(AK5:AK11)</f>
        <v>2480</v>
      </c>
      <c r="AL13" s="111"/>
      <c r="AM13" s="54"/>
      <c r="AN13" s="55"/>
      <c r="AO13" s="116"/>
      <c r="AP13" s="119" t="s">
        <v>17</v>
      </c>
      <c r="AQ13" s="120">
        <f>SUM(AQ5:AQ11)</f>
        <v>1845</v>
      </c>
      <c r="AR13" s="120">
        <f>SUM(AR5:AR11)</f>
        <v>2615</v>
      </c>
      <c r="AS13" s="121">
        <f>SUM(AS5:AS11)</f>
        <v>3065</v>
      </c>
    </row>
    <row r="14" spans="1:45" ht="15" thickBot="1" x14ac:dyDescent="0.35">
      <c r="A14" s="16">
        <v>3</v>
      </c>
      <c r="B14" s="1"/>
      <c r="C14" s="1" t="s">
        <v>49</v>
      </c>
      <c r="D14" s="1" t="s">
        <v>36</v>
      </c>
      <c r="E14" s="20">
        <f>E27/$F$29</f>
        <v>0.1875</v>
      </c>
      <c r="F14" s="20">
        <f>F27/$F$29</f>
        <v>0.1875</v>
      </c>
      <c r="G14" s="21">
        <v>0.15</v>
      </c>
      <c r="H14" s="48"/>
      <c r="I14" s="16">
        <v>3</v>
      </c>
      <c r="J14" s="1"/>
      <c r="K14" s="1" t="s">
        <v>49</v>
      </c>
      <c r="L14" s="1" t="s">
        <v>36</v>
      </c>
      <c r="M14" s="20">
        <v>0.15</v>
      </c>
      <c r="N14" s="20">
        <v>0.15</v>
      </c>
      <c r="O14" s="21">
        <v>0.15</v>
      </c>
      <c r="T14" s="137" t="s">
        <v>5</v>
      </c>
      <c r="U14" s="142">
        <v>75</v>
      </c>
      <c r="V14" s="142">
        <v>150</v>
      </c>
      <c r="W14" s="143">
        <v>225</v>
      </c>
      <c r="X14" s="110"/>
      <c r="AL14" s="68"/>
    </row>
    <row r="15" spans="1:45" hidden="1" x14ac:dyDescent="0.3">
      <c r="A15" s="16"/>
      <c r="B15" s="1"/>
      <c r="C15" s="1"/>
      <c r="D15" s="1"/>
      <c r="E15" s="20">
        <f>SUM(E5:E14)</f>
        <v>0.6875</v>
      </c>
      <c r="F15" s="20">
        <f>SUM(F5:F14)</f>
        <v>0.99999999999999989</v>
      </c>
      <c r="G15" s="21">
        <f>SUM(G5:G14)</f>
        <v>1.1999999999999997</v>
      </c>
      <c r="H15" s="48"/>
      <c r="I15" s="16"/>
      <c r="J15" s="1"/>
      <c r="K15" s="1"/>
      <c r="L15" s="1"/>
      <c r="M15" s="20">
        <v>0.65</v>
      </c>
      <c r="N15" s="20">
        <v>1</v>
      </c>
      <c r="O15" s="21">
        <v>1.1999999999999997</v>
      </c>
      <c r="T15" s="140" t="s">
        <v>25</v>
      </c>
      <c r="U15" s="141">
        <v>100</v>
      </c>
      <c r="V15" s="141">
        <v>200</v>
      </c>
      <c r="W15" s="141">
        <v>300</v>
      </c>
      <c r="X15" s="110"/>
      <c r="AA15" s="60"/>
      <c r="AH15" s="93" t="s">
        <v>433</v>
      </c>
      <c r="AI15" s="210">
        <v>1350</v>
      </c>
      <c r="AJ15" s="211"/>
      <c r="AK15" s="211"/>
      <c r="AL15" s="123"/>
      <c r="AP15" s="93" t="s">
        <v>434</v>
      </c>
      <c r="AQ15" s="210">
        <v>1420</v>
      </c>
      <c r="AR15" s="211"/>
      <c r="AS15" s="211"/>
    </row>
    <row r="16" spans="1:45" ht="15" thickBot="1" x14ac:dyDescent="0.35">
      <c r="A16" s="16" t="s">
        <v>30</v>
      </c>
      <c r="B16" s="1"/>
      <c r="C16" s="1" t="s">
        <v>31</v>
      </c>
      <c r="D16" s="1"/>
      <c r="E16" s="1"/>
      <c r="F16" s="1"/>
      <c r="G16" s="17"/>
      <c r="H16" s="48"/>
      <c r="I16" s="16" t="s">
        <v>30</v>
      </c>
      <c r="J16" s="1"/>
      <c r="K16" s="1" t="s">
        <v>31</v>
      </c>
      <c r="L16" s="1"/>
      <c r="M16" s="1"/>
      <c r="N16" s="1"/>
      <c r="O16" s="17"/>
    </row>
    <row r="17" spans="1:40" hidden="1" x14ac:dyDescent="0.3">
      <c r="A17" s="16" t="s">
        <v>33</v>
      </c>
      <c r="B17" s="1"/>
      <c r="C17" s="1" t="s">
        <v>34</v>
      </c>
      <c r="D17" s="1"/>
      <c r="E17" s="20">
        <v>0.9</v>
      </c>
      <c r="F17" s="20">
        <v>1</v>
      </c>
      <c r="G17" s="21">
        <v>1.1499999999999999</v>
      </c>
      <c r="H17" s="48"/>
      <c r="I17" s="16" t="s">
        <v>33</v>
      </c>
      <c r="J17" s="1"/>
      <c r="K17" s="1" t="s">
        <v>34</v>
      </c>
      <c r="L17" s="1"/>
      <c r="M17" s="20">
        <v>0.9</v>
      </c>
      <c r="N17" s="20">
        <v>1</v>
      </c>
      <c r="O17" s="21">
        <v>1.1499999999999999</v>
      </c>
      <c r="AL17" s="93"/>
    </row>
    <row r="18" spans="1:40" ht="18.75" hidden="1" customHeight="1" thickBot="1" x14ac:dyDescent="0.35">
      <c r="A18" s="16"/>
      <c r="B18" s="1"/>
      <c r="C18" s="1" t="s">
        <v>35</v>
      </c>
      <c r="D18" s="1" t="s">
        <v>36</v>
      </c>
      <c r="E18" s="32">
        <v>75</v>
      </c>
      <c r="F18" s="32">
        <v>150</v>
      </c>
      <c r="G18" s="53">
        <v>225</v>
      </c>
      <c r="H18" s="48"/>
      <c r="I18" s="16"/>
      <c r="J18" s="1"/>
      <c r="K18" s="1" t="s">
        <v>35</v>
      </c>
      <c r="L18" s="1" t="s">
        <v>36</v>
      </c>
      <c r="M18" s="32">
        <v>100</v>
      </c>
      <c r="N18" s="32">
        <v>200</v>
      </c>
      <c r="O18" s="53">
        <v>300</v>
      </c>
    </row>
    <row r="19" spans="1:40" ht="15" hidden="1" thickBot="1" x14ac:dyDescent="0.35">
      <c r="A19" s="16"/>
      <c r="B19" s="1"/>
      <c r="C19" s="1" t="s">
        <v>38</v>
      </c>
      <c r="D19" s="1" t="s">
        <v>39</v>
      </c>
      <c r="E19" s="32">
        <v>100</v>
      </c>
      <c r="F19" s="32">
        <v>200</v>
      </c>
      <c r="G19" s="53">
        <v>270</v>
      </c>
      <c r="H19" s="48"/>
      <c r="I19" s="16"/>
      <c r="J19" s="1"/>
      <c r="K19" s="1" t="s">
        <v>38</v>
      </c>
      <c r="L19" s="1" t="s">
        <v>39</v>
      </c>
      <c r="M19" s="32">
        <f>N19/2</f>
        <v>135</v>
      </c>
      <c r="N19" s="32">
        <v>270</v>
      </c>
      <c r="O19" s="53">
        <v>350</v>
      </c>
      <c r="T19" s="15" t="s">
        <v>27</v>
      </c>
      <c r="U19" s="204" t="s">
        <v>341</v>
      </c>
      <c r="V19" s="205"/>
      <c r="W19" s="206"/>
      <c r="X19" s="93"/>
    </row>
    <row r="20" spans="1:40" ht="15" hidden="1" thickBot="1" x14ac:dyDescent="0.35">
      <c r="A20" s="16"/>
      <c r="B20" s="1"/>
      <c r="C20" s="1" t="s">
        <v>41</v>
      </c>
      <c r="D20" s="1" t="s">
        <v>42</v>
      </c>
      <c r="E20" s="32">
        <v>100</v>
      </c>
      <c r="F20" s="32">
        <v>200</v>
      </c>
      <c r="G20" s="53">
        <v>270</v>
      </c>
      <c r="H20" s="48"/>
      <c r="I20" s="16"/>
      <c r="J20" s="1"/>
      <c r="K20" s="1" t="s">
        <v>41</v>
      </c>
      <c r="L20" s="1" t="s">
        <v>42</v>
      </c>
      <c r="M20" s="32">
        <f>N20/2</f>
        <v>135</v>
      </c>
      <c r="N20" s="32">
        <v>270</v>
      </c>
      <c r="O20" s="53">
        <v>350</v>
      </c>
      <c r="T20" s="4" t="s">
        <v>32</v>
      </c>
      <c r="U20" s="212">
        <v>0.6</v>
      </c>
      <c r="V20" s="212"/>
      <c r="W20" s="213"/>
      <c r="X20" s="109"/>
    </row>
    <row r="21" spans="1:40" hidden="1" x14ac:dyDescent="0.3">
      <c r="A21" s="16"/>
      <c r="B21" s="1"/>
      <c r="C21" s="68" t="s">
        <v>44</v>
      </c>
      <c r="D21" s="68" t="s">
        <v>513</v>
      </c>
      <c r="E21" s="174">
        <v>100</v>
      </c>
      <c r="F21" s="174">
        <v>200</v>
      </c>
      <c r="G21" s="175">
        <v>270</v>
      </c>
      <c r="H21" s="48"/>
      <c r="I21" s="16"/>
      <c r="J21" s="1"/>
      <c r="K21" s="1" t="s">
        <v>44</v>
      </c>
      <c r="L21" s="1" t="s">
        <v>45</v>
      </c>
      <c r="M21" s="32">
        <f>N21/2</f>
        <v>135</v>
      </c>
      <c r="N21" s="32">
        <v>270</v>
      </c>
      <c r="O21" s="53">
        <v>350</v>
      </c>
      <c r="T21" s="22" t="s">
        <v>24</v>
      </c>
      <c r="U21" s="214">
        <f>U20*F29</f>
        <v>720</v>
      </c>
      <c r="V21" s="214"/>
      <c r="W21" s="215"/>
      <c r="X21" s="32"/>
    </row>
    <row r="22" spans="1:40" ht="15.6" hidden="1" x14ac:dyDescent="0.3">
      <c r="A22" s="16"/>
      <c r="B22" s="1"/>
      <c r="C22" s="171" t="s">
        <v>50</v>
      </c>
      <c r="D22" s="171" t="s">
        <v>51</v>
      </c>
      <c r="E22" s="172"/>
      <c r="F22" s="172"/>
      <c r="G22" s="173"/>
      <c r="H22" s="48"/>
      <c r="I22" s="16"/>
      <c r="J22" s="1"/>
      <c r="K22" s="1" t="s">
        <v>50</v>
      </c>
      <c r="L22" s="1" t="s">
        <v>51</v>
      </c>
      <c r="M22" s="32">
        <f>N22/2</f>
        <v>135</v>
      </c>
      <c r="N22" s="32">
        <v>270</v>
      </c>
      <c r="O22" s="53">
        <v>350</v>
      </c>
      <c r="T22" s="31" t="s">
        <v>37</v>
      </c>
      <c r="U22" s="224">
        <f>U20*F57</f>
        <v>972</v>
      </c>
      <c r="V22" s="224"/>
      <c r="W22" s="225"/>
      <c r="X22" s="32"/>
    </row>
    <row r="23" spans="1:40" ht="15.6" hidden="1" x14ac:dyDescent="0.3">
      <c r="A23" s="16"/>
      <c r="B23" s="1"/>
      <c r="C23" s="171" t="s">
        <v>342</v>
      </c>
      <c r="D23" s="171" t="s">
        <v>343</v>
      </c>
      <c r="E23" s="172"/>
      <c r="F23" s="172"/>
      <c r="G23" s="173"/>
      <c r="H23" s="48"/>
      <c r="I23" s="16"/>
      <c r="J23" s="1"/>
      <c r="K23" s="1"/>
      <c r="L23" s="1"/>
      <c r="M23" s="32"/>
      <c r="N23" s="32"/>
      <c r="O23" s="53"/>
      <c r="T23" s="31"/>
      <c r="U23" s="32"/>
      <c r="V23" s="32"/>
      <c r="W23" s="33"/>
      <c r="X23" s="32"/>
    </row>
    <row r="24" spans="1:40" ht="15.6" hidden="1" x14ac:dyDescent="0.3">
      <c r="A24" s="16"/>
      <c r="B24" s="47"/>
      <c r="C24" s="1"/>
      <c r="D24" s="1"/>
      <c r="E24" s="1"/>
      <c r="F24" s="1"/>
      <c r="G24" s="17"/>
      <c r="H24" s="48"/>
      <c r="I24" s="16"/>
      <c r="J24" s="47"/>
      <c r="K24" s="1"/>
      <c r="L24" s="1"/>
      <c r="M24" s="1"/>
      <c r="N24" s="1"/>
      <c r="O24" s="17"/>
      <c r="T24" s="37" t="s">
        <v>40</v>
      </c>
      <c r="U24" s="224">
        <f>U20*F86</f>
        <v>864</v>
      </c>
      <c r="V24" s="224"/>
      <c r="W24" s="225"/>
      <c r="X24" s="32"/>
    </row>
    <row r="25" spans="1:40" ht="16.2" hidden="1" thickBot="1" x14ac:dyDescent="0.35">
      <c r="A25" s="16">
        <v>2</v>
      </c>
      <c r="B25" s="47"/>
      <c r="C25" s="1" t="s">
        <v>511</v>
      </c>
      <c r="D25" s="1" t="s">
        <v>39</v>
      </c>
      <c r="E25" s="32">
        <v>225</v>
      </c>
      <c r="F25" s="32">
        <v>225</v>
      </c>
      <c r="G25" s="53">
        <v>225</v>
      </c>
      <c r="H25" s="48"/>
      <c r="I25" s="16">
        <v>2</v>
      </c>
      <c r="J25" s="47"/>
      <c r="K25" s="1" t="s">
        <v>432</v>
      </c>
      <c r="L25" s="1" t="s">
        <v>39</v>
      </c>
      <c r="M25" s="32">
        <v>300</v>
      </c>
      <c r="N25" s="32">
        <v>300</v>
      </c>
      <c r="O25" s="53">
        <v>300</v>
      </c>
      <c r="T25" s="43" t="s">
        <v>43</v>
      </c>
      <c r="U25" s="218">
        <f>U20*F115</f>
        <v>540</v>
      </c>
      <c r="V25" s="218"/>
      <c r="W25" s="219"/>
      <c r="X25" s="32"/>
    </row>
    <row r="26" spans="1:40" hidden="1" x14ac:dyDescent="0.3">
      <c r="A26" s="16"/>
      <c r="B26" s="47"/>
      <c r="C26" s="1"/>
      <c r="D26" s="1"/>
      <c r="E26" s="1"/>
      <c r="F26" s="1"/>
      <c r="G26" s="17"/>
      <c r="H26" s="48"/>
      <c r="I26" s="16"/>
      <c r="J26" s="47"/>
      <c r="K26" s="1"/>
      <c r="L26" s="1"/>
      <c r="M26" s="1"/>
      <c r="N26" s="1"/>
      <c r="O26" s="17"/>
    </row>
    <row r="27" spans="1:40" hidden="1" x14ac:dyDescent="0.3">
      <c r="A27" s="16">
        <v>3</v>
      </c>
      <c r="B27" s="1"/>
      <c r="C27" s="1" t="s">
        <v>512</v>
      </c>
      <c r="D27" s="1" t="s">
        <v>52</v>
      </c>
      <c r="E27" s="32">
        <v>225</v>
      </c>
      <c r="F27" s="32">
        <v>225</v>
      </c>
      <c r="G27" s="53">
        <v>225</v>
      </c>
      <c r="H27" s="48"/>
      <c r="I27" s="16">
        <v>3</v>
      </c>
      <c r="J27" s="1"/>
      <c r="K27" s="1" t="s">
        <v>49</v>
      </c>
      <c r="L27" s="1" t="s">
        <v>36</v>
      </c>
      <c r="M27" s="32">
        <v>300</v>
      </c>
      <c r="N27" s="32">
        <v>300</v>
      </c>
      <c r="O27" s="53">
        <v>300</v>
      </c>
    </row>
    <row r="28" spans="1:40" ht="15" hidden="1" thickBot="1" x14ac:dyDescent="0.35">
      <c r="A28" s="16"/>
      <c r="B28" s="1"/>
      <c r="C28" s="1"/>
      <c r="D28" s="1"/>
      <c r="E28" s="1"/>
      <c r="F28" s="1"/>
      <c r="G28" s="17"/>
      <c r="H28" s="48"/>
      <c r="I28" s="16"/>
      <c r="J28" s="1"/>
      <c r="K28" s="1"/>
      <c r="L28" s="1"/>
      <c r="M28" s="1"/>
      <c r="N28" s="1"/>
      <c r="O28" s="17"/>
    </row>
    <row r="29" spans="1:40" ht="15" thickBot="1" x14ac:dyDescent="0.35">
      <c r="A29" s="54"/>
      <c r="B29" s="55"/>
      <c r="C29" s="55"/>
      <c r="D29" s="55" t="s">
        <v>17</v>
      </c>
      <c r="E29" s="56">
        <f>SUM(E18:E27)</f>
        <v>825</v>
      </c>
      <c r="F29" s="56">
        <f>SUM(F18:F27)</f>
        <v>1200</v>
      </c>
      <c r="G29" s="57">
        <f>SUM(G18:G27)</f>
        <v>1485</v>
      </c>
      <c r="H29" s="48"/>
      <c r="I29" s="54"/>
      <c r="J29" s="55"/>
      <c r="K29" s="55"/>
      <c r="L29" s="55" t="s">
        <v>53</v>
      </c>
      <c r="M29" s="56">
        <f>SUM(M18:M27)+M22</f>
        <v>1375</v>
      </c>
      <c r="N29" s="56">
        <f>SUM(N18:N27)+N22</f>
        <v>2150</v>
      </c>
      <c r="O29" s="57">
        <f>SUM(O18:O27)+O22</f>
        <v>2650</v>
      </c>
      <c r="T29" s="4" t="s">
        <v>27</v>
      </c>
      <c r="U29" s="204" t="s">
        <v>446</v>
      </c>
      <c r="V29" s="205"/>
      <c r="W29" s="206"/>
      <c r="Z29" s="4" t="s">
        <v>430</v>
      </c>
      <c r="AA29" s="204" t="s">
        <v>28</v>
      </c>
      <c r="AB29" s="205"/>
      <c r="AC29" s="206"/>
      <c r="AN29" s="73"/>
    </row>
    <row r="30" spans="1:40" ht="15" thickBot="1" x14ac:dyDescent="0.35">
      <c r="H30" s="48"/>
      <c r="T30" s="4" t="s">
        <v>451</v>
      </c>
      <c r="U30" s="18">
        <v>0.9</v>
      </c>
      <c r="V30" s="18">
        <v>1</v>
      </c>
      <c r="W30" s="19">
        <v>1.1499999999999999</v>
      </c>
      <c r="Z30" s="4" t="s">
        <v>32</v>
      </c>
      <c r="AA30" s="18">
        <v>0.9</v>
      </c>
      <c r="AB30" s="18">
        <v>1</v>
      </c>
      <c r="AC30" s="18">
        <v>1.1499999999999999</v>
      </c>
      <c r="AD30" s="19" t="s">
        <v>574</v>
      </c>
    </row>
    <row r="31" spans="1:40" ht="18" x14ac:dyDescent="0.35">
      <c r="A31" s="9"/>
      <c r="B31" s="10"/>
      <c r="C31" s="11" t="s">
        <v>22</v>
      </c>
      <c r="D31" s="11" t="s">
        <v>54</v>
      </c>
      <c r="E31" s="12" t="s">
        <v>23</v>
      </c>
      <c r="F31" s="12">
        <v>1500</v>
      </c>
      <c r="G31" s="13" t="s">
        <v>37</v>
      </c>
      <c r="H31" s="48"/>
      <c r="I31" s="9"/>
      <c r="J31" s="10"/>
      <c r="K31" s="11" t="s">
        <v>25</v>
      </c>
      <c r="L31" s="11" t="s">
        <v>55</v>
      </c>
      <c r="M31" s="12" t="s">
        <v>23</v>
      </c>
      <c r="N31" s="12">
        <v>2000</v>
      </c>
      <c r="O31" s="14"/>
      <c r="T31" s="22" t="s">
        <v>452</v>
      </c>
      <c r="U31" s="23">
        <f>E19</f>
        <v>100</v>
      </c>
      <c r="V31" s="23">
        <f>F19</f>
        <v>200</v>
      </c>
      <c r="W31" s="24">
        <f>G19</f>
        <v>270</v>
      </c>
      <c r="Z31" s="25" t="s">
        <v>572</v>
      </c>
      <c r="AA31" s="26">
        <v>150</v>
      </c>
      <c r="AB31" s="26">
        <v>350</v>
      </c>
      <c r="AC31" s="26">
        <v>440</v>
      </c>
      <c r="AD31" s="27">
        <v>400</v>
      </c>
      <c r="AJ31" s="73"/>
    </row>
    <row r="32" spans="1:40" ht="15.6" x14ac:dyDescent="0.3">
      <c r="A32" s="16" t="s">
        <v>30</v>
      </c>
      <c r="B32" s="1"/>
      <c r="C32" s="1" t="s">
        <v>31</v>
      </c>
      <c r="D32" s="1"/>
      <c r="E32" s="1"/>
      <c r="F32" s="1"/>
      <c r="G32" s="17"/>
      <c r="H32" s="48"/>
      <c r="I32" s="16" t="s">
        <v>30</v>
      </c>
      <c r="J32" s="1"/>
      <c r="K32" s="1" t="s">
        <v>31</v>
      </c>
      <c r="L32" s="1"/>
      <c r="M32" s="1"/>
      <c r="N32" s="1"/>
      <c r="O32" s="17"/>
      <c r="T32" s="106" t="s">
        <v>453</v>
      </c>
      <c r="U32" s="32">
        <f>E47</f>
        <v>85</v>
      </c>
      <c r="V32" s="32">
        <f>F47</f>
        <v>170</v>
      </c>
      <c r="W32" s="33">
        <f>G47</f>
        <v>200</v>
      </c>
      <c r="Z32" s="31" t="s">
        <v>573</v>
      </c>
      <c r="AA32" s="26">
        <v>100</v>
      </c>
      <c r="AB32" s="26">
        <v>200</v>
      </c>
      <c r="AC32" s="26">
        <v>250</v>
      </c>
      <c r="AD32" s="27">
        <v>250</v>
      </c>
    </row>
    <row r="33" spans="1:30" ht="15.6" x14ac:dyDescent="0.3">
      <c r="A33" s="16" t="s">
        <v>33</v>
      </c>
      <c r="B33" s="1"/>
      <c r="C33" s="1" t="s">
        <v>34</v>
      </c>
      <c r="D33" s="1"/>
      <c r="E33" s="20">
        <v>0.9</v>
      </c>
      <c r="F33" s="20">
        <v>1</v>
      </c>
      <c r="G33" s="21">
        <v>1.1499999999999999</v>
      </c>
      <c r="H33" s="48"/>
      <c r="I33" s="16" t="s">
        <v>33</v>
      </c>
      <c r="J33" s="1"/>
      <c r="K33" s="1" t="s">
        <v>34</v>
      </c>
      <c r="L33" s="1"/>
      <c r="M33" s="20">
        <v>0.9</v>
      </c>
      <c r="N33" s="20">
        <v>1</v>
      </c>
      <c r="O33" s="21">
        <v>1.1499999999999999</v>
      </c>
      <c r="T33" s="107" t="s">
        <v>454</v>
      </c>
      <c r="U33" s="32">
        <f>E76</f>
        <v>70</v>
      </c>
      <c r="V33" s="32">
        <f>F76</f>
        <v>140</v>
      </c>
      <c r="W33" s="33">
        <f>G76</f>
        <v>175</v>
      </c>
      <c r="Z33" s="31" t="s">
        <v>470</v>
      </c>
      <c r="AA33" s="26">
        <v>75</v>
      </c>
      <c r="AB33" s="26">
        <v>150</v>
      </c>
      <c r="AC33" s="26">
        <v>225</v>
      </c>
      <c r="AD33" s="27">
        <v>225</v>
      </c>
    </row>
    <row r="34" spans="1:30" ht="16.2" thickBot="1" x14ac:dyDescent="0.35">
      <c r="A34" s="16"/>
      <c r="B34" s="1"/>
      <c r="C34" s="1" t="s">
        <v>35</v>
      </c>
      <c r="D34" s="1" t="s">
        <v>36</v>
      </c>
      <c r="E34" s="20">
        <v>0.05</v>
      </c>
      <c r="F34" s="20">
        <v>0.1</v>
      </c>
      <c r="G34" s="21">
        <v>0.15</v>
      </c>
      <c r="H34" s="48"/>
      <c r="I34" s="16"/>
      <c r="J34" s="1"/>
      <c r="K34" s="1" t="s">
        <v>35</v>
      </c>
      <c r="L34" s="1" t="s">
        <v>36</v>
      </c>
      <c r="M34" s="20">
        <v>0.05</v>
      </c>
      <c r="N34" s="20">
        <v>0.1</v>
      </c>
      <c r="O34" s="21">
        <v>0.15</v>
      </c>
      <c r="T34" s="108" t="s">
        <v>455</v>
      </c>
      <c r="U34" s="44">
        <f>E105</f>
        <v>50</v>
      </c>
      <c r="V34" s="44">
        <f>F105</f>
        <v>100</v>
      </c>
      <c r="W34" s="45">
        <f>G105</f>
        <v>125</v>
      </c>
      <c r="Z34" s="38" t="s">
        <v>431</v>
      </c>
      <c r="AA34" s="39">
        <v>170</v>
      </c>
      <c r="AB34" s="39">
        <v>400</v>
      </c>
      <c r="AC34" s="39">
        <v>500</v>
      </c>
      <c r="AD34" s="40">
        <v>500</v>
      </c>
    </row>
    <row r="35" spans="1:30" x14ac:dyDescent="0.3">
      <c r="A35" s="16"/>
      <c r="B35" s="1"/>
      <c r="C35" s="1" t="s">
        <v>38</v>
      </c>
      <c r="D35" s="1" t="s">
        <v>39</v>
      </c>
      <c r="E35" s="20">
        <v>6.25E-2</v>
      </c>
      <c r="F35" s="20">
        <v>0.125</v>
      </c>
      <c r="G35" s="21">
        <v>0.15</v>
      </c>
      <c r="H35" s="59"/>
      <c r="I35" s="16"/>
      <c r="J35" s="1"/>
      <c r="K35" s="1" t="s">
        <v>38</v>
      </c>
      <c r="L35" s="1" t="s">
        <v>39</v>
      </c>
      <c r="M35" s="34">
        <v>6.25E-2</v>
      </c>
      <c r="N35" s="34">
        <v>0.125</v>
      </c>
      <c r="O35" s="58">
        <v>0.15</v>
      </c>
    </row>
    <row r="36" spans="1:30" ht="15" thickBot="1" x14ac:dyDescent="0.35">
      <c r="A36" s="16"/>
      <c r="B36" s="1"/>
      <c r="C36" s="1" t="s">
        <v>41</v>
      </c>
      <c r="D36" s="1" t="s">
        <v>42</v>
      </c>
      <c r="E36" s="20">
        <v>0.125</v>
      </c>
      <c r="F36" s="20">
        <v>0.25</v>
      </c>
      <c r="G36" s="21">
        <v>0.3</v>
      </c>
      <c r="H36" s="59"/>
      <c r="I36" s="16"/>
      <c r="J36" s="1"/>
      <c r="K36" s="1" t="s">
        <v>41</v>
      </c>
      <c r="L36" s="1" t="s">
        <v>42</v>
      </c>
      <c r="M36" s="34">
        <v>0.125</v>
      </c>
      <c r="N36" s="34">
        <v>0.25</v>
      </c>
      <c r="O36" s="58">
        <v>0.3</v>
      </c>
    </row>
    <row r="37" spans="1:30" ht="15" thickBot="1" x14ac:dyDescent="0.35">
      <c r="A37" s="16"/>
      <c r="B37" s="1"/>
      <c r="C37" s="1" t="s">
        <v>44</v>
      </c>
      <c r="D37" s="1" t="s">
        <v>45</v>
      </c>
      <c r="E37" s="20">
        <v>6.25E-2</v>
      </c>
      <c r="F37" s="20">
        <v>0.125</v>
      </c>
      <c r="G37" s="21">
        <v>0.15</v>
      </c>
      <c r="H37" s="59"/>
      <c r="I37" s="16"/>
      <c r="J37" s="1"/>
      <c r="K37" s="1" t="s">
        <v>44</v>
      </c>
      <c r="L37" s="1" t="s">
        <v>45</v>
      </c>
      <c r="M37" s="34">
        <v>6.25E-2</v>
      </c>
      <c r="N37" s="20">
        <v>0.125</v>
      </c>
      <c r="O37" s="21">
        <v>0.15</v>
      </c>
      <c r="T37" s="204" t="s">
        <v>447</v>
      </c>
      <c r="U37" s="205"/>
      <c r="V37" s="205"/>
      <c r="W37" s="206"/>
    </row>
    <row r="38" spans="1:30" ht="15" thickBot="1" x14ac:dyDescent="0.35">
      <c r="A38" s="16"/>
      <c r="B38" s="1"/>
      <c r="C38" s="1"/>
      <c r="D38" s="1"/>
      <c r="E38" s="20"/>
      <c r="F38" s="20"/>
      <c r="G38" s="21"/>
      <c r="H38" s="59"/>
      <c r="I38" s="16"/>
      <c r="J38" s="1"/>
      <c r="K38" s="1"/>
      <c r="L38" s="1"/>
      <c r="M38" s="34"/>
      <c r="N38" s="20"/>
      <c r="O38" s="21"/>
      <c r="T38" s="204" t="s">
        <v>448</v>
      </c>
      <c r="U38" s="205"/>
      <c r="V38" s="138">
        <v>0.9</v>
      </c>
      <c r="W38" s="139">
        <v>1</v>
      </c>
    </row>
    <row r="39" spans="1:30" x14ac:dyDescent="0.3">
      <c r="A39" s="16"/>
      <c r="B39" s="47"/>
      <c r="C39" s="1"/>
      <c r="D39" s="1"/>
      <c r="E39" s="1"/>
      <c r="F39" s="1"/>
      <c r="G39" s="17"/>
      <c r="H39" s="48"/>
      <c r="I39" s="16"/>
      <c r="J39" s="47"/>
      <c r="K39" s="1"/>
      <c r="L39" s="1"/>
      <c r="M39" s="1"/>
      <c r="N39" s="1"/>
      <c r="O39" s="17"/>
      <c r="T39" s="223" t="s">
        <v>437</v>
      </c>
      <c r="U39" s="211"/>
      <c r="V39" s="32">
        <v>56.25</v>
      </c>
      <c r="W39" s="33">
        <f>W40</f>
        <v>112.5</v>
      </c>
    </row>
    <row r="40" spans="1:30" ht="15" thickBot="1" x14ac:dyDescent="0.35">
      <c r="A40" s="16">
        <v>2</v>
      </c>
      <c r="B40" s="47"/>
      <c r="C40" s="1" t="s">
        <v>46</v>
      </c>
      <c r="D40" s="1" t="s">
        <v>39</v>
      </c>
      <c r="E40" s="20">
        <v>0.15</v>
      </c>
      <c r="F40" s="20">
        <v>0.15</v>
      </c>
      <c r="G40" s="21">
        <v>0.15</v>
      </c>
      <c r="H40" s="48"/>
      <c r="I40" s="16">
        <v>2</v>
      </c>
      <c r="J40" s="47"/>
      <c r="K40" s="1" t="s">
        <v>47</v>
      </c>
      <c r="L40" s="1" t="s">
        <v>39</v>
      </c>
      <c r="M40" s="20">
        <v>0.15</v>
      </c>
      <c r="N40" s="20">
        <v>0.15</v>
      </c>
      <c r="O40" s="21">
        <v>0.15</v>
      </c>
      <c r="T40" s="216" t="s">
        <v>439</v>
      </c>
      <c r="U40" s="217"/>
      <c r="V40" s="44">
        <f>V39</f>
        <v>56.25</v>
      </c>
      <c r="W40" s="45">
        <f>V40*2</f>
        <v>112.5</v>
      </c>
    </row>
    <row r="41" spans="1:30" x14ac:dyDescent="0.3">
      <c r="A41" s="16"/>
      <c r="B41" s="47"/>
      <c r="C41" s="1"/>
      <c r="D41" s="1"/>
      <c r="E41" s="1"/>
      <c r="F41" s="1"/>
      <c r="G41" s="17"/>
      <c r="H41" s="48"/>
      <c r="I41" s="16"/>
      <c r="J41" s="47"/>
      <c r="K41" s="1"/>
      <c r="L41" s="1"/>
      <c r="M41" s="1"/>
      <c r="N41" s="1"/>
      <c r="O41" s="17"/>
    </row>
    <row r="42" spans="1:30" ht="15" thickBot="1" x14ac:dyDescent="0.35">
      <c r="A42" s="16">
        <v>3</v>
      </c>
      <c r="B42" s="1"/>
      <c r="C42" s="1" t="s">
        <v>49</v>
      </c>
      <c r="D42" s="1" t="s">
        <v>36</v>
      </c>
      <c r="E42" s="20">
        <v>0.15</v>
      </c>
      <c r="F42" s="20">
        <v>0.15</v>
      </c>
      <c r="G42" s="21">
        <v>0.15</v>
      </c>
      <c r="H42" s="48"/>
      <c r="I42" s="16">
        <v>3</v>
      </c>
      <c r="J42" s="1"/>
      <c r="K42" s="1" t="s">
        <v>49</v>
      </c>
      <c r="L42" s="1" t="s">
        <v>36</v>
      </c>
      <c r="M42" s="20">
        <v>0.15</v>
      </c>
      <c r="N42" s="20">
        <v>0.15</v>
      </c>
      <c r="O42" s="21">
        <v>0.15</v>
      </c>
    </row>
    <row r="43" spans="1:30" ht="15" thickBot="1" x14ac:dyDescent="0.35">
      <c r="A43" s="16"/>
      <c r="B43" s="1"/>
      <c r="C43" s="1"/>
      <c r="D43" s="1"/>
      <c r="E43" s="20">
        <v>0.6</v>
      </c>
      <c r="F43" s="20">
        <v>0.9</v>
      </c>
      <c r="G43" s="21">
        <v>1.05</v>
      </c>
      <c r="H43" s="48"/>
      <c r="I43" s="16"/>
      <c r="J43" s="1"/>
      <c r="K43" s="1"/>
      <c r="L43" s="1"/>
      <c r="M43" s="20">
        <v>0.6</v>
      </c>
      <c r="N43" s="20">
        <v>0.9</v>
      </c>
      <c r="O43" s="21">
        <v>1.05</v>
      </c>
      <c r="T43" s="204" t="s">
        <v>449</v>
      </c>
      <c r="U43" s="205"/>
      <c r="V43" s="205"/>
      <c r="W43" s="206"/>
    </row>
    <row r="44" spans="1:30" ht="15" thickBot="1" x14ac:dyDescent="0.35">
      <c r="A44" s="16" t="s">
        <v>30</v>
      </c>
      <c r="B44" s="1"/>
      <c r="C44" s="1" t="s">
        <v>31</v>
      </c>
      <c r="D44" s="1"/>
      <c r="E44" s="1"/>
      <c r="F44" s="1"/>
      <c r="G44" s="17"/>
      <c r="H44" s="48"/>
      <c r="I44" s="16" t="s">
        <v>30</v>
      </c>
      <c r="J44" s="1"/>
      <c r="K44" s="1" t="s">
        <v>31</v>
      </c>
      <c r="L44" s="1"/>
      <c r="M44" s="1"/>
      <c r="N44" s="1"/>
      <c r="O44" s="17"/>
      <c r="T44" s="216" t="s">
        <v>450</v>
      </c>
      <c r="U44" s="217"/>
      <c r="V44" s="218">
        <v>225</v>
      </c>
      <c r="W44" s="219"/>
    </row>
    <row r="45" spans="1:30" x14ac:dyDescent="0.3">
      <c r="A45" s="16" t="s">
        <v>33</v>
      </c>
      <c r="B45" s="1"/>
      <c r="C45" s="1" t="s">
        <v>34</v>
      </c>
      <c r="D45" s="1"/>
      <c r="E45" s="20">
        <v>0.9</v>
      </c>
      <c r="F45" s="20">
        <v>1</v>
      </c>
      <c r="G45" s="21">
        <v>1.1499999999999999</v>
      </c>
      <c r="H45" s="48"/>
      <c r="I45" s="16" t="s">
        <v>33</v>
      </c>
      <c r="J45" s="1"/>
      <c r="K45" s="1" t="s">
        <v>34</v>
      </c>
      <c r="L45" s="1"/>
      <c r="M45" s="20">
        <v>0.9</v>
      </c>
      <c r="N45" s="20">
        <v>1</v>
      </c>
      <c r="O45" s="21">
        <v>1.1499999999999999</v>
      </c>
    </row>
    <row r="46" spans="1:30" x14ac:dyDescent="0.3">
      <c r="A46" s="16"/>
      <c r="B46" s="1"/>
      <c r="C46" s="1" t="s">
        <v>35</v>
      </c>
      <c r="D46" s="1" t="s">
        <v>36</v>
      </c>
      <c r="E46" s="32">
        <v>75</v>
      </c>
      <c r="F46" s="32">
        <v>150</v>
      </c>
      <c r="G46" s="53">
        <v>225</v>
      </c>
      <c r="H46" s="48"/>
      <c r="I46" s="16"/>
      <c r="J46" s="1"/>
      <c r="K46" s="1" t="s">
        <v>35</v>
      </c>
      <c r="L46" s="1" t="s">
        <v>36</v>
      </c>
      <c r="M46" s="32">
        <v>100</v>
      </c>
      <c r="N46" s="32">
        <v>200</v>
      </c>
      <c r="O46" s="53">
        <v>300</v>
      </c>
    </row>
    <row r="47" spans="1:30" x14ac:dyDescent="0.3">
      <c r="A47" s="16"/>
      <c r="B47" s="1"/>
      <c r="C47" s="1" t="s">
        <v>38</v>
      </c>
      <c r="D47" s="1" t="s">
        <v>39</v>
      </c>
      <c r="E47" s="32">
        <v>85</v>
      </c>
      <c r="F47" s="32">
        <v>170</v>
      </c>
      <c r="G47" s="53">
        <v>200</v>
      </c>
      <c r="H47" s="60"/>
      <c r="I47" s="16"/>
      <c r="J47" s="1"/>
      <c r="K47" s="1" t="s">
        <v>38</v>
      </c>
      <c r="L47" s="1" t="s">
        <v>39</v>
      </c>
      <c r="M47" s="32">
        <f>N47/2</f>
        <v>112.5</v>
      </c>
      <c r="N47" s="32">
        <v>225</v>
      </c>
      <c r="O47" s="53">
        <v>270</v>
      </c>
    </row>
    <row r="48" spans="1:30" x14ac:dyDescent="0.3">
      <c r="A48" s="16"/>
      <c r="B48" s="1"/>
      <c r="C48" s="1" t="s">
        <v>41</v>
      </c>
      <c r="D48" s="1" t="s">
        <v>42</v>
      </c>
      <c r="E48" s="32">
        <v>85</v>
      </c>
      <c r="F48" s="32">
        <v>170</v>
      </c>
      <c r="G48" s="53">
        <v>200</v>
      </c>
      <c r="H48" s="60"/>
      <c r="I48" s="16"/>
      <c r="J48" s="1"/>
      <c r="K48" s="1" t="s">
        <v>41</v>
      </c>
      <c r="L48" s="1" t="s">
        <v>42</v>
      </c>
      <c r="M48" s="32">
        <f>N48/2</f>
        <v>112.5</v>
      </c>
      <c r="N48" s="32">
        <v>225</v>
      </c>
      <c r="O48" s="53">
        <v>270</v>
      </c>
    </row>
    <row r="49" spans="1:20" x14ac:dyDescent="0.3">
      <c r="A49" s="16"/>
      <c r="B49" s="1"/>
      <c r="C49" s="1" t="s">
        <v>44</v>
      </c>
      <c r="D49" s="1" t="s">
        <v>45</v>
      </c>
      <c r="E49" s="32">
        <v>85</v>
      </c>
      <c r="F49" s="32">
        <v>170</v>
      </c>
      <c r="G49" s="53">
        <v>200</v>
      </c>
      <c r="H49" s="60"/>
      <c r="I49" s="16"/>
      <c r="J49" s="1"/>
      <c r="K49" s="1" t="s">
        <v>44</v>
      </c>
      <c r="L49" s="1" t="s">
        <v>45</v>
      </c>
      <c r="M49" s="32">
        <f>N49/2</f>
        <v>112.5</v>
      </c>
      <c r="N49" s="32">
        <v>225</v>
      </c>
      <c r="O49" s="53">
        <v>270</v>
      </c>
    </row>
    <row r="50" spans="1:20" x14ac:dyDescent="0.3">
      <c r="A50" s="16"/>
      <c r="B50" s="1"/>
      <c r="C50" s="1" t="s">
        <v>50</v>
      </c>
      <c r="D50" s="1" t="s">
        <v>51</v>
      </c>
      <c r="E50" s="32">
        <v>170</v>
      </c>
      <c r="F50" s="32">
        <v>340</v>
      </c>
      <c r="G50" s="53">
        <v>400</v>
      </c>
      <c r="H50" s="48"/>
      <c r="I50" s="16"/>
      <c r="J50" s="1"/>
      <c r="K50" s="1" t="s">
        <v>50</v>
      </c>
      <c r="L50" s="1" t="s">
        <v>51</v>
      </c>
      <c r="M50" s="32">
        <f>N50/2</f>
        <v>112.5</v>
      </c>
      <c r="N50" s="32">
        <v>225</v>
      </c>
      <c r="O50" s="53">
        <v>270</v>
      </c>
      <c r="T50" s="73">
        <f>SUM(N46:N50)</f>
        <v>1100</v>
      </c>
    </row>
    <row r="51" spans="1:20" x14ac:dyDescent="0.3">
      <c r="A51" s="16"/>
      <c r="B51" s="1"/>
      <c r="C51" s="1" t="s">
        <v>342</v>
      </c>
      <c r="D51" s="1" t="s">
        <v>343</v>
      </c>
      <c r="E51" s="32">
        <v>85</v>
      </c>
      <c r="F51" s="32">
        <v>170</v>
      </c>
      <c r="G51" s="53">
        <v>200</v>
      </c>
      <c r="H51" s="48"/>
      <c r="I51" s="16"/>
      <c r="J51" s="1"/>
      <c r="K51" s="1"/>
      <c r="L51" s="1"/>
      <c r="M51" s="32"/>
      <c r="N51" s="32"/>
      <c r="O51" s="53"/>
      <c r="T51">
        <f>T50/N57</f>
        <v>0.5714285714285714</v>
      </c>
    </row>
    <row r="52" spans="1:20" x14ac:dyDescent="0.3">
      <c r="A52" s="16"/>
      <c r="B52" s="47"/>
      <c r="C52" s="1"/>
      <c r="D52" s="1"/>
      <c r="E52" s="1"/>
      <c r="F52" s="1"/>
      <c r="G52" s="17"/>
      <c r="H52" s="48"/>
      <c r="I52" s="16"/>
      <c r="J52" s="47"/>
      <c r="K52" s="1"/>
      <c r="L52" s="1"/>
      <c r="M52" s="1"/>
      <c r="N52" s="1"/>
      <c r="O52" s="17"/>
      <c r="T52" s="73">
        <f>25%*N57</f>
        <v>481.25</v>
      </c>
    </row>
    <row r="53" spans="1:20" x14ac:dyDescent="0.3">
      <c r="A53" s="16">
        <v>2</v>
      </c>
      <c r="B53" s="47"/>
      <c r="C53" s="1" t="s">
        <v>46</v>
      </c>
      <c r="D53" s="1" t="s">
        <v>39</v>
      </c>
      <c r="E53" s="32">
        <v>225</v>
      </c>
      <c r="F53" s="32">
        <v>225</v>
      </c>
      <c r="G53" s="53">
        <v>225</v>
      </c>
      <c r="H53" s="48"/>
      <c r="I53" s="16">
        <v>2</v>
      </c>
      <c r="J53" s="47"/>
      <c r="K53" s="1" t="s">
        <v>47</v>
      </c>
      <c r="L53" s="1" t="s">
        <v>39</v>
      </c>
      <c r="M53" s="32">
        <v>300</v>
      </c>
      <c r="N53" s="32">
        <v>300</v>
      </c>
      <c r="O53" s="53">
        <v>300</v>
      </c>
    </row>
    <row r="54" spans="1:20" x14ac:dyDescent="0.3">
      <c r="A54" s="16"/>
      <c r="B54" s="47"/>
      <c r="C54" s="1"/>
      <c r="D54" s="1"/>
      <c r="E54" s="1"/>
      <c r="F54" s="1"/>
      <c r="G54" s="17"/>
      <c r="H54" s="48"/>
      <c r="I54" s="16"/>
      <c r="J54" s="47"/>
      <c r="K54" s="1"/>
      <c r="L54" s="1"/>
      <c r="M54" s="1"/>
      <c r="N54" s="1"/>
      <c r="O54" s="17"/>
      <c r="T54" s="199">
        <f>N55/N57</f>
        <v>0.15584415584415584</v>
      </c>
    </row>
    <row r="55" spans="1:20" x14ac:dyDescent="0.3">
      <c r="A55" s="16">
        <v>3</v>
      </c>
      <c r="B55" s="1"/>
      <c r="C55" s="1" t="s">
        <v>49</v>
      </c>
      <c r="D55" s="1" t="s">
        <v>36</v>
      </c>
      <c r="E55" s="32">
        <v>225</v>
      </c>
      <c r="F55" s="32">
        <v>225</v>
      </c>
      <c r="G55" s="53">
        <v>225</v>
      </c>
      <c r="H55" s="48"/>
      <c r="I55" s="16">
        <v>3</v>
      </c>
      <c r="J55" s="1"/>
      <c r="K55" s="1" t="s">
        <v>49</v>
      </c>
      <c r="L55" s="1" t="s">
        <v>36</v>
      </c>
      <c r="M55" s="32">
        <v>300</v>
      </c>
      <c r="N55" s="32">
        <v>300</v>
      </c>
      <c r="O55" s="53">
        <v>300</v>
      </c>
    </row>
    <row r="56" spans="1:20" x14ac:dyDescent="0.3">
      <c r="A56" s="16"/>
      <c r="B56" s="1"/>
      <c r="C56" s="1"/>
      <c r="D56" s="1"/>
      <c r="E56" s="1"/>
      <c r="F56" s="1"/>
      <c r="G56" s="17"/>
      <c r="H56" s="48"/>
      <c r="I56" s="16"/>
      <c r="J56" s="1"/>
      <c r="K56" s="1"/>
      <c r="L56" s="1"/>
      <c r="M56" s="1"/>
      <c r="N56" s="1"/>
      <c r="O56" s="17"/>
      <c r="T56">
        <v>500</v>
      </c>
    </row>
    <row r="57" spans="1:20" x14ac:dyDescent="0.3">
      <c r="A57" s="54"/>
      <c r="B57" s="55"/>
      <c r="C57" s="55"/>
      <c r="D57" s="55" t="s">
        <v>53</v>
      </c>
      <c r="E57" s="56">
        <f>SUM(E46:E55)</f>
        <v>1035</v>
      </c>
      <c r="F57" s="56">
        <f>SUM(F46:F55)</f>
        <v>1620</v>
      </c>
      <c r="G57" s="57">
        <f>SUM(G46:G55)</f>
        <v>1875</v>
      </c>
      <c r="H57" s="48"/>
      <c r="I57" s="54"/>
      <c r="J57" s="55"/>
      <c r="K57" s="55"/>
      <c r="L57" s="55" t="s">
        <v>53</v>
      </c>
      <c r="M57" s="56">
        <f>SUM(M46:M55)+M50</f>
        <v>1262.5</v>
      </c>
      <c r="N57" s="56">
        <f>SUM(N46:N55)+N50</f>
        <v>1925</v>
      </c>
      <c r="O57" s="57">
        <f>SUM(O46:O55)+O50</f>
        <v>2250</v>
      </c>
      <c r="T57">
        <v>500</v>
      </c>
    </row>
    <row r="58" spans="1:20" x14ac:dyDescent="0.3">
      <c r="H58" s="48"/>
    </row>
    <row r="59" spans="1:20" ht="18" x14ac:dyDescent="0.35">
      <c r="A59" s="9"/>
      <c r="B59" s="10"/>
      <c r="C59" s="11" t="s">
        <v>22</v>
      </c>
      <c r="D59" s="11" t="s">
        <v>40</v>
      </c>
      <c r="E59" s="12" t="s">
        <v>23</v>
      </c>
      <c r="F59" s="12">
        <v>1500</v>
      </c>
      <c r="G59" s="13" t="s">
        <v>40</v>
      </c>
      <c r="H59" s="48"/>
      <c r="I59" s="9"/>
      <c r="J59" s="10"/>
      <c r="K59" s="11" t="s">
        <v>25</v>
      </c>
      <c r="L59" s="11" t="s">
        <v>56</v>
      </c>
      <c r="M59" s="12" t="s">
        <v>23</v>
      </c>
      <c r="N59" s="12">
        <v>200</v>
      </c>
      <c r="O59" s="14"/>
    </row>
    <row r="60" spans="1:20" x14ac:dyDescent="0.3">
      <c r="A60" s="16" t="s">
        <v>30</v>
      </c>
      <c r="B60" s="1"/>
      <c r="C60" s="1" t="s">
        <v>31</v>
      </c>
      <c r="D60" s="1"/>
      <c r="E60" s="1"/>
      <c r="F60" s="1"/>
      <c r="G60" s="17"/>
      <c r="H60" s="48"/>
      <c r="I60" s="16" t="s">
        <v>30</v>
      </c>
      <c r="J60" s="1"/>
      <c r="K60" s="1" t="s">
        <v>31</v>
      </c>
      <c r="L60" s="1"/>
      <c r="M60" s="1"/>
      <c r="N60" s="1"/>
      <c r="O60" s="17"/>
    </row>
    <row r="61" spans="1:20" x14ac:dyDescent="0.3">
      <c r="A61" s="16" t="s">
        <v>33</v>
      </c>
      <c r="B61" s="1"/>
      <c r="C61" s="1" t="s">
        <v>34</v>
      </c>
      <c r="D61" s="1"/>
      <c r="E61" s="20">
        <v>0.9</v>
      </c>
      <c r="F61" s="20">
        <v>1</v>
      </c>
      <c r="G61" s="21">
        <v>1.1499999999999999</v>
      </c>
      <c r="H61" s="48"/>
      <c r="I61" s="16" t="s">
        <v>33</v>
      </c>
      <c r="J61" s="1"/>
      <c r="K61" s="1" t="s">
        <v>34</v>
      </c>
      <c r="L61" s="1"/>
      <c r="M61" s="20">
        <v>0.9</v>
      </c>
      <c r="N61" s="20">
        <v>1</v>
      </c>
      <c r="O61" s="21">
        <v>1.1499999999999999</v>
      </c>
    </row>
    <row r="62" spans="1:20" x14ac:dyDescent="0.3">
      <c r="A62" s="16"/>
      <c r="B62" s="1"/>
      <c r="C62" s="1" t="s">
        <v>35</v>
      </c>
      <c r="D62" s="1" t="s">
        <v>36</v>
      </c>
      <c r="E62" s="20">
        <f t="shared" ref="E62:G66" si="3">E75/$F$86</f>
        <v>5.2083333333333336E-2</v>
      </c>
      <c r="F62" s="20">
        <f t="shared" si="3"/>
        <v>0.10416666666666667</v>
      </c>
      <c r="G62" s="21">
        <f t="shared" si="3"/>
        <v>0.15625</v>
      </c>
      <c r="H62" s="48"/>
      <c r="I62" s="16"/>
      <c r="J62" s="1"/>
      <c r="K62" s="1" t="s">
        <v>35</v>
      </c>
      <c r="L62" s="1" t="s">
        <v>36</v>
      </c>
      <c r="M62" s="20">
        <v>0.05</v>
      </c>
      <c r="N62" s="20">
        <v>0.1</v>
      </c>
      <c r="O62" s="21">
        <v>0.15</v>
      </c>
    </row>
    <row r="63" spans="1:20" x14ac:dyDescent="0.3">
      <c r="A63" s="16"/>
      <c r="B63" s="1"/>
      <c r="C63" s="1" t="s">
        <v>38</v>
      </c>
      <c r="D63" s="1" t="s">
        <v>39</v>
      </c>
      <c r="E63" s="20">
        <f t="shared" si="3"/>
        <v>4.8611111111111112E-2</v>
      </c>
      <c r="F63" s="20">
        <f t="shared" si="3"/>
        <v>9.7222222222222224E-2</v>
      </c>
      <c r="G63" s="21">
        <f t="shared" si="3"/>
        <v>0.12152777777777778</v>
      </c>
      <c r="H63" s="35"/>
      <c r="I63" s="16"/>
      <c r="J63" s="1"/>
      <c r="K63" s="1" t="s">
        <v>38</v>
      </c>
      <c r="L63" s="1" t="s">
        <v>39</v>
      </c>
      <c r="M63" s="34">
        <v>0.05</v>
      </c>
      <c r="N63" s="20">
        <v>0.1</v>
      </c>
      <c r="O63" s="58">
        <v>0.125</v>
      </c>
    </row>
    <row r="64" spans="1:20" x14ac:dyDescent="0.3">
      <c r="A64" s="16"/>
      <c r="B64" s="1"/>
      <c r="C64" s="1" t="s">
        <v>41</v>
      </c>
      <c r="D64" s="1" t="s">
        <v>42</v>
      </c>
      <c r="E64" s="20">
        <f t="shared" si="3"/>
        <v>4.8611111111111112E-2</v>
      </c>
      <c r="F64" s="20">
        <f t="shared" si="3"/>
        <v>9.7222222222222224E-2</v>
      </c>
      <c r="G64" s="21">
        <f t="shared" si="3"/>
        <v>0.12152777777777778</v>
      </c>
      <c r="H64" s="35"/>
      <c r="I64" s="16"/>
      <c r="J64" s="1"/>
      <c r="K64" s="1" t="s">
        <v>41</v>
      </c>
      <c r="L64" s="1" t="s">
        <v>42</v>
      </c>
      <c r="M64" s="34">
        <v>0.1</v>
      </c>
      <c r="N64" s="20">
        <v>0.2</v>
      </c>
      <c r="O64" s="58">
        <v>0.25</v>
      </c>
    </row>
    <row r="65" spans="1:15" x14ac:dyDescent="0.3">
      <c r="A65" s="16"/>
      <c r="B65" s="1"/>
      <c r="C65" s="1" t="s">
        <v>44</v>
      </c>
      <c r="D65" s="1" t="s">
        <v>45</v>
      </c>
      <c r="E65" s="20">
        <f t="shared" si="3"/>
        <v>4.8611111111111112E-2</v>
      </c>
      <c r="F65" s="20">
        <f t="shared" si="3"/>
        <v>9.7222222222222224E-2</v>
      </c>
      <c r="G65" s="21">
        <f t="shared" si="3"/>
        <v>0.12152777777777778</v>
      </c>
      <c r="H65" s="35"/>
      <c r="I65" s="16"/>
      <c r="J65" s="1"/>
      <c r="K65" s="1"/>
      <c r="L65" s="1"/>
      <c r="M65" s="34"/>
      <c r="N65" s="20"/>
      <c r="O65" s="58"/>
    </row>
    <row r="66" spans="1:15" x14ac:dyDescent="0.3">
      <c r="A66" s="16"/>
      <c r="B66" s="1"/>
      <c r="C66" s="1" t="s">
        <v>50</v>
      </c>
      <c r="D66" s="1" t="s">
        <v>51</v>
      </c>
      <c r="E66" s="20">
        <f t="shared" si="3"/>
        <v>9.7222222222222224E-2</v>
      </c>
      <c r="F66" s="20">
        <f t="shared" si="3"/>
        <v>0.19444444444444445</v>
      </c>
      <c r="G66" s="21">
        <f t="shared" si="3"/>
        <v>0.24305555555555555</v>
      </c>
      <c r="H66" s="35"/>
      <c r="I66" s="16"/>
      <c r="J66" s="1"/>
      <c r="K66" s="1" t="s">
        <v>44</v>
      </c>
      <c r="L66" s="1" t="s">
        <v>45</v>
      </c>
      <c r="M66" s="34">
        <v>0.05</v>
      </c>
      <c r="N66" s="20">
        <v>0.1</v>
      </c>
      <c r="O66" s="58">
        <v>0.125</v>
      </c>
    </row>
    <row r="67" spans="1:15" x14ac:dyDescent="0.3">
      <c r="A67" s="16"/>
      <c r="B67" s="1"/>
      <c r="C67" s="1"/>
      <c r="D67" s="1"/>
      <c r="E67" s="20"/>
      <c r="F67" s="20"/>
      <c r="G67" s="21"/>
      <c r="H67" s="35"/>
      <c r="I67" s="16"/>
      <c r="J67" s="1"/>
      <c r="K67" s="1"/>
      <c r="L67" s="1"/>
      <c r="M67" s="34"/>
      <c r="N67" s="20"/>
      <c r="O67" s="58"/>
    </row>
    <row r="68" spans="1:15" x14ac:dyDescent="0.3">
      <c r="A68" s="16"/>
      <c r="B68" s="47"/>
      <c r="C68" s="1"/>
      <c r="D68" s="1"/>
      <c r="E68" s="1"/>
      <c r="F68" s="1"/>
      <c r="G68" s="17"/>
      <c r="H68" s="48"/>
      <c r="I68" s="16"/>
      <c r="J68" s="47"/>
      <c r="K68" s="1"/>
      <c r="L68" s="1"/>
      <c r="M68" s="1"/>
      <c r="N68" s="1"/>
      <c r="O68" s="17"/>
    </row>
    <row r="69" spans="1:15" x14ac:dyDescent="0.3">
      <c r="A69" s="16">
        <v>2</v>
      </c>
      <c r="B69" s="47"/>
      <c r="C69" s="1" t="s">
        <v>46</v>
      </c>
      <c r="D69" s="1" t="s">
        <v>39</v>
      </c>
      <c r="E69" s="20">
        <f>E82/$F$86</f>
        <v>0.15625</v>
      </c>
      <c r="F69" s="20">
        <f>F82/$F$86</f>
        <v>0.15625</v>
      </c>
      <c r="G69" s="21">
        <f>G82/$F$86</f>
        <v>0.15625</v>
      </c>
      <c r="H69" s="48"/>
      <c r="I69" s="16">
        <v>2</v>
      </c>
      <c r="J69" s="47"/>
      <c r="K69" s="1" t="s">
        <v>47</v>
      </c>
      <c r="L69" s="1" t="s">
        <v>39</v>
      </c>
      <c r="M69" s="20">
        <v>0.15</v>
      </c>
      <c r="N69" s="20">
        <v>0.15</v>
      </c>
      <c r="O69" s="21">
        <v>0.15</v>
      </c>
    </row>
    <row r="70" spans="1:15" x14ac:dyDescent="0.3">
      <c r="A70" s="16"/>
      <c r="B70" s="47"/>
      <c r="C70" s="1"/>
      <c r="D70" s="1"/>
      <c r="E70" s="1"/>
      <c r="F70" s="1"/>
      <c r="G70" s="17"/>
      <c r="H70" s="48"/>
      <c r="I70" s="16"/>
      <c r="J70" s="47"/>
      <c r="K70" s="1"/>
      <c r="L70" s="1"/>
      <c r="M70" s="1"/>
      <c r="N70" s="1"/>
      <c r="O70" s="17"/>
    </row>
    <row r="71" spans="1:15" x14ac:dyDescent="0.3">
      <c r="A71" s="16">
        <v>3</v>
      </c>
      <c r="B71" s="1"/>
      <c r="C71" s="1" t="s">
        <v>49</v>
      </c>
      <c r="D71" s="1" t="s">
        <v>36</v>
      </c>
      <c r="E71" s="20">
        <f>E84/$F$86</f>
        <v>0.15625</v>
      </c>
      <c r="F71" s="20">
        <f>F84/$F$86</f>
        <v>0.15625</v>
      </c>
      <c r="G71" s="21">
        <f>G84/$F$86</f>
        <v>0.15625</v>
      </c>
      <c r="H71" s="48"/>
      <c r="I71" s="16">
        <v>3</v>
      </c>
      <c r="J71" s="1"/>
      <c r="K71" s="1" t="s">
        <v>49</v>
      </c>
      <c r="L71" s="1" t="s">
        <v>36</v>
      </c>
      <c r="M71" s="20">
        <v>0.15</v>
      </c>
      <c r="N71" s="20">
        <v>0.15</v>
      </c>
      <c r="O71" s="21">
        <v>0.15</v>
      </c>
    </row>
    <row r="72" spans="1:15" x14ac:dyDescent="0.3">
      <c r="A72" s="16"/>
      <c r="B72" s="1"/>
      <c r="C72" s="1"/>
      <c r="D72" s="1"/>
      <c r="E72" s="20">
        <f>SUM(E62:E71)</f>
        <v>0.60763888888888884</v>
      </c>
      <c r="F72" s="20">
        <f>SUM(F62:F71)</f>
        <v>0.90277777777777779</v>
      </c>
      <c r="G72" s="21">
        <f>SUM(G62:G71)</f>
        <v>1.0763888888888888</v>
      </c>
      <c r="H72" s="48"/>
      <c r="I72" s="16"/>
      <c r="J72" s="1"/>
      <c r="K72" s="1"/>
      <c r="L72" s="1"/>
      <c r="M72" s="20">
        <v>0.55000000000000004</v>
      </c>
      <c r="N72" s="20">
        <v>0.8</v>
      </c>
      <c r="O72" s="21">
        <v>0.95000000000000007</v>
      </c>
    </row>
    <row r="73" spans="1:15" x14ac:dyDescent="0.3">
      <c r="A73" s="16" t="s">
        <v>30</v>
      </c>
      <c r="B73" s="1"/>
      <c r="C73" s="1" t="s">
        <v>31</v>
      </c>
      <c r="D73" s="1"/>
      <c r="E73" s="1"/>
      <c r="F73" s="1"/>
      <c r="G73" s="17"/>
      <c r="H73" s="48"/>
      <c r="I73" s="16" t="s">
        <v>30</v>
      </c>
      <c r="J73" s="1"/>
      <c r="K73" s="1" t="s">
        <v>31</v>
      </c>
      <c r="L73" s="1"/>
      <c r="M73" s="1"/>
      <c r="N73" s="1"/>
      <c r="O73" s="17"/>
    </row>
    <row r="74" spans="1:15" x14ac:dyDescent="0.3">
      <c r="A74" s="16" t="s">
        <v>33</v>
      </c>
      <c r="B74" s="1"/>
      <c r="C74" s="1" t="s">
        <v>34</v>
      </c>
      <c r="D74" s="1"/>
      <c r="E74" s="20">
        <v>0.9</v>
      </c>
      <c r="F74" s="20">
        <v>1</v>
      </c>
      <c r="G74" s="21">
        <v>1.1499999999999999</v>
      </c>
      <c r="H74" s="48"/>
      <c r="I74" s="16" t="s">
        <v>33</v>
      </c>
      <c r="J74" s="1"/>
      <c r="K74" s="1" t="s">
        <v>34</v>
      </c>
      <c r="L74" s="1"/>
      <c r="M74" s="20">
        <v>0.9</v>
      </c>
      <c r="N74" s="20">
        <v>1</v>
      </c>
      <c r="O74" s="21">
        <v>1.1499999999999999</v>
      </c>
    </row>
    <row r="75" spans="1:15" x14ac:dyDescent="0.3">
      <c r="A75" s="16"/>
      <c r="B75" s="1"/>
      <c r="C75" s="1" t="s">
        <v>35</v>
      </c>
      <c r="D75" s="1" t="s">
        <v>36</v>
      </c>
      <c r="E75" s="32">
        <v>75</v>
      </c>
      <c r="F75" s="32">
        <v>150</v>
      </c>
      <c r="G75" s="53">
        <v>225</v>
      </c>
      <c r="H75" s="48"/>
      <c r="I75" s="16"/>
      <c r="J75" s="1"/>
      <c r="K75" s="1" t="s">
        <v>35</v>
      </c>
      <c r="L75" s="1" t="s">
        <v>36</v>
      </c>
      <c r="M75" s="32">
        <v>100</v>
      </c>
      <c r="N75" s="32">
        <v>200</v>
      </c>
      <c r="O75" s="53">
        <v>300</v>
      </c>
    </row>
    <row r="76" spans="1:15" x14ac:dyDescent="0.3">
      <c r="A76" s="16"/>
      <c r="B76" s="1"/>
      <c r="C76" s="1" t="s">
        <v>38</v>
      </c>
      <c r="D76" s="1" t="s">
        <v>39</v>
      </c>
      <c r="E76" s="32">
        <v>70</v>
      </c>
      <c r="F76" s="32">
        <v>140</v>
      </c>
      <c r="G76" s="53">
        <v>175</v>
      </c>
      <c r="H76" s="60"/>
      <c r="I76" s="16"/>
      <c r="J76" s="1"/>
      <c r="K76" s="1" t="s">
        <v>38</v>
      </c>
      <c r="L76" s="1" t="s">
        <v>39</v>
      </c>
      <c r="M76" s="32">
        <v>85</v>
      </c>
      <c r="N76" s="32">
        <v>170</v>
      </c>
      <c r="O76" s="53">
        <v>220</v>
      </c>
    </row>
    <row r="77" spans="1:15" x14ac:dyDescent="0.3">
      <c r="A77" s="16"/>
      <c r="B77" s="1"/>
      <c r="C77" s="1" t="s">
        <v>41</v>
      </c>
      <c r="D77" s="1" t="s">
        <v>42</v>
      </c>
      <c r="E77" s="32">
        <v>70</v>
      </c>
      <c r="F77" s="32">
        <v>140</v>
      </c>
      <c r="G77" s="53">
        <v>175</v>
      </c>
      <c r="H77" s="60"/>
      <c r="I77" s="16"/>
      <c r="J77" s="1"/>
      <c r="K77" s="1" t="s">
        <v>41</v>
      </c>
      <c r="L77" s="1" t="s">
        <v>42</v>
      </c>
      <c r="M77" s="32">
        <v>85</v>
      </c>
      <c r="N77" s="32">
        <v>170</v>
      </c>
      <c r="O77" s="53">
        <v>220</v>
      </c>
    </row>
    <row r="78" spans="1:15" x14ac:dyDescent="0.3">
      <c r="A78" s="16"/>
      <c r="B78" s="1"/>
      <c r="C78" s="1" t="s">
        <v>44</v>
      </c>
      <c r="D78" s="1" t="s">
        <v>45</v>
      </c>
      <c r="E78" s="32">
        <v>70</v>
      </c>
      <c r="F78" s="32">
        <v>140</v>
      </c>
      <c r="G78" s="53">
        <v>175</v>
      </c>
      <c r="H78" s="60"/>
      <c r="I78" s="16"/>
      <c r="J78" s="1"/>
      <c r="K78" s="1" t="s">
        <v>44</v>
      </c>
      <c r="L78" s="1" t="s">
        <v>45</v>
      </c>
      <c r="M78" s="32">
        <v>85</v>
      </c>
      <c r="N78" s="32">
        <v>170</v>
      </c>
      <c r="O78" s="53">
        <v>220</v>
      </c>
    </row>
    <row r="79" spans="1:15" x14ac:dyDescent="0.3">
      <c r="A79" s="16"/>
      <c r="B79" s="1"/>
      <c r="C79" s="1" t="s">
        <v>50</v>
      </c>
      <c r="D79" s="1" t="s">
        <v>51</v>
      </c>
      <c r="E79" s="32">
        <v>140</v>
      </c>
      <c r="F79" s="32">
        <v>280</v>
      </c>
      <c r="G79" s="53">
        <v>350</v>
      </c>
      <c r="H79" s="48"/>
      <c r="I79" s="16"/>
      <c r="J79" s="1"/>
      <c r="K79" s="1" t="s">
        <v>50</v>
      </c>
      <c r="L79" s="1" t="s">
        <v>51</v>
      </c>
      <c r="M79" s="32">
        <v>85</v>
      </c>
      <c r="N79" s="32">
        <v>170</v>
      </c>
      <c r="O79" s="53">
        <v>220</v>
      </c>
    </row>
    <row r="80" spans="1:15" x14ac:dyDescent="0.3">
      <c r="A80" s="16"/>
      <c r="B80" s="1"/>
      <c r="C80" s="1" t="s">
        <v>342</v>
      </c>
      <c r="D80" s="1" t="s">
        <v>343</v>
      </c>
      <c r="E80" s="32">
        <v>70</v>
      </c>
      <c r="F80" s="32">
        <v>140</v>
      </c>
      <c r="G80" s="53">
        <v>175</v>
      </c>
      <c r="H80" s="48"/>
      <c r="I80" s="16"/>
      <c r="J80" s="1"/>
      <c r="K80" s="1"/>
      <c r="L80" s="1"/>
      <c r="M80" s="32"/>
      <c r="N80" s="32"/>
      <c r="O80" s="53"/>
    </row>
    <row r="81" spans="1:15" x14ac:dyDescent="0.3">
      <c r="A81" s="16"/>
      <c r="B81" s="47"/>
      <c r="C81" s="1"/>
      <c r="D81" s="1"/>
      <c r="E81" s="1"/>
      <c r="F81" s="1"/>
      <c r="G81" s="17"/>
      <c r="H81" s="48"/>
      <c r="I81" s="16"/>
      <c r="J81" s="47"/>
      <c r="K81" s="1"/>
      <c r="L81" s="1"/>
      <c r="M81" s="1"/>
      <c r="N81" s="1"/>
      <c r="O81" s="17"/>
    </row>
    <row r="82" spans="1:15" x14ac:dyDescent="0.3">
      <c r="A82" s="16">
        <v>2</v>
      </c>
      <c r="B82" s="47"/>
      <c r="C82" s="1" t="s">
        <v>46</v>
      </c>
      <c r="D82" s="1" t="s">
        <v>39</v>
      </c>
      <c r="E82" s="32">
        <v>225</v>
      </c>
      <c r="F82" s="32">
        <v>225</v>
      </c>
      <c r="G82" s="53">
        <v>225</v>
      </c>
      <c r="H82" s="48"/>
      <c r="I82" s="16">
        <v>2</v>
      </c>
      <c r="J82" s="47"/>
      <c r="K82" s="1" t="s">
        <v>47</v>
      </c>
      <c r="L82" s="1" t="s">
        <v>39</v>
      </c>
      <c r="M82" s="32">
        <v>300</v>
      </c>
      <c r="N82" s="32">
        <v>300</v>
      </c>
      <c r="O82" s="53">
        <v>300</v>
      </c>
    </row>
    <row r="83" spans="1:15" x14ac:dyDescent="0.3">
      <c r="A83" s="16"/>
      <c r="B83" s="47"/>
      <c r="C83" s="1"/>
      <c r="D83" s="1"/>
      <c r="E83" s="1"/>
      <c r="F83" s="1"/>
      <c r="G83" s="17"/>
      <c r="H83" s="48"/>
      <c r="I83" s="16"/>
      <c r="J83" s="47"/>
      <c r="K83" s="1"/>
      <c r="L83" s="1"/>
      <c r="M83" s="1"/>
      <c r="N83" s="1"/>
      <c r="O83" s="17"/>
    </row>
    <row r="84" spans="1:15" x14ac:dyDescent="0.3">
      <c r="A84" s="16">
        <v>3</v>
      </c>
      <c r="B84" s="1"/>
      <c r="C84" s="1" t="s">
        <v>49</v>
      </c>
      <c r="D84" s="1" t="s">
        <v>36</v>
      </c>
      <c r="E84" s="32">
        <v>225</v>
      </c>
      <c r="F84" s="32">
        <v>225</v>
      </c>
      <c r="G84" s="53">
        <v>225</v>
      </c>
      <c r="H84" s="48"/>
      <c r="I84" s="16">
        <v>3</v>
      </c>
      <c r="J84" s="1"/>
      <c r="K84" s="1" t="s">
        <v>49</v>
      </c>
      <c r="L84" s="1" t="s">
        <v>36</v>
      </c>
      <c r="M84" s="32">
        <v>300</v>
      </c>
      <c r="N84" s="32">
        <v>300</v>
      </c>
      <c r="O84" s="53">
        <v>300</v>
      </c>
    </row>
    <row r="85" spans="1:15" x14ac:dyDescent="0.3">
      <c r="A85" s="16"/>
      <c r="B85" s="1"/>
      <c r="C85" s="1"/>
      <c r="D85" s="1"/>
      <c r="E85" s="1"/>
      <c r="F85" s="1"/>
      <c r="G85" s="17"/>
      <c r="H85" s="48"/>
      <c r="I85" s="16"/>
      <c r="J85" s="1"/>
      <c r="K85" s="1"/>
      <c r="L85" s="1"/>
      <c r="M85" s="1"/>
      <c r="N85" s="1"/>
      <c r="O85" s="17"/>
    </row>
    <row r="86" spans="1:15" x14ac:dyDescent="0.3">
      <c r="A86" s="54"/>
      <c r="B86" s="55"/>
      <c r="C86" s="55"/>
      <c r="D86" s="55" t="s">
        <v>17</v>
      </c>
      <c r="E86" s="56">
        <f>SUM(E75:E84)</f>
        <v>945</v>
      </c>
      <c r="F86" s="56">
        <f>SUM(F75:F84)</f>
        <v>1440</v>
      </c>
      <c r="G86" s="57">
        <f>SUM(G75:G84)</f>
        <v>1725</v>
      </c>
      <c r="H86" s="48"/>
      <c r="I86" s="54"/>
      <c r="J86" s="55"/>
      <c r="K86" s="55"/>
      <c r="L86" s="55" t="s">
        <v>53</v>
      </c>
      <c r="M86" s="56">
        <f>SUM(M75:M84)+M79</f>
        <v>1125</v>
      </c>
      <c r="N86" s="56">
        <f>SUM(N75:N84)+N79</f>
        <v>1650</v>
      </c>
      <c r="O86" s="57">
        <f>SUM(O75:O84)+O79</f>
        <v>2000</v>
      </c>
    </row>
    <row r="87" spans="1:15" x14ac:dyDescent="0.3">
      <c r="H87" s="48"/>
      <c r="I87" s="48"/>
    </row>
    <row r="88" spans="1:15" ht="18" x14ac:dyDescent="0.35">
      <c r="A88" s="9"/>
      <c r="B88" s="10"/>
      <c r="C88" s="11" t="s">
        <v>22</v>
      </c>
      <c r="D88" s="11" t="s">
        <v>57</v>
      </c>
      <c r="E88" s="12" t="s">
        <v>23</v>
      </c>
      <c r="F88" s="12">
        <v>1500</v>
      </c>
      <c r="G88" s="13" t="s">
        <v>43</v>
      </c>
      <c r="H88" s="48"/>
      <c r="I88" s="48"/>
    </row>
    <row r="89" spans="1:15" x14ac:dyDescent="0.3">
      <c r="A89" s="16" t="s">
        <v>30</v>
      </c>
      <c r="B89" s="1"/>
      <c r="C89" s="1" t="s">
        <v>31</v>
      </c>
      <c r="D89" s="1"/>
      <c r="E89" s="1"/>
      <c r="F89" s="1"/>
      <c r="G89" s="17"/>
      <c r="H89" s="48"/>
      <c r="I89" s="48"/>
    </row>
    <row r="90" spans="1:15" x14ac:dyDescent="0.3">
      <c r="A90" s="16" t="s">
        <v>33</v>
      </c>
      <c r="B90" s="1"/>
      <c r="C90" s="1" t="s">
        <v>34</v>
      </c>
      <c r="D90" s="1"/>
      <c r="E90" s="20">
        <v>0.9</v>
      </c>
      <c r="F90" s="20">
        <v>1</v>
      </c>
      <c r="G90" s="21">
        <v>1.1499999999999999</v>
      </c>
      <c r="H90" s="48"/>
      <c r="I90" s="48"/>
    </row>
    <row r="91" spans="1:15" x14ac:dyDescent="0.3">
      <c r="A91" s="16"/>
      <c r="B91" s="1"/>
      <c r="C91" s="1" t="s">
        <v>35</v>
      </c>
      <c r="D91" s="1" t="s">
        <v>36</v>
      </c>
      <c r="E91" s="20">
        <v>0.05</v>
      </c>
      <c r="F91" s="20">
        <v>0.1</v>
      </c>
      <c r="G91" s="21">
        <v>0.15</v>
      </c>
      <c r="H91" s="48"/>
      <c r="I91" s="48"/>
    </row>
    <row r="92" spans="1:15" x14ac:dyDescent="0.3">
      <c r="A92" s="16"/>
      <c r="B92" s="1"/>
      <c r="C92" s="1" t="s">
        <v>38</v>
      </c>
      <c r="D92" s="1" t="s">
        <v>39</v>
      </c>
      <c r="E92" s="34">
        <v>3.7499999999999999E-2</v>
      </c>
      <c r="F92" s="34">
        <v>7.4999999999999997E-2</v>
      </c>
      <c r="G92" s="58">
        <v>0.1</v>
      </c>
      <c r="H92" s="35"/>
      <c r="I92" s="48"/>
    </row>
    <row r="93" spans="1:15" x14ac:dyDescent="0.3">
      <c r="A93" s="16"/>
      <c r="B93" s="1"/>
      <c r="C93" s="1" t="s">
        <v>41</v>
      </c>
      <c r="D93" s="1" t="s">
        <v>42</v>
      </c>
      <c r="E93" s="34">
        <v>7.4999999999999997E-2</v>
      </c>
      <c r="F93" s="34">
        <v>0.15</v>
      </c>
      <c r="G93" s="58">
        <v>0.2</v>
      </c>
      <c r="H93" s="35"/>
      <c r="I93" s="48"/>
    </row>
    <row r="94" spans="1:15" x14ac:dyDescent="0.3">
      <c r="A94" s="16"/>
      <c r="B94" s="1"/>
      <c r="C94" s="1" t="s">
        <v>44</v>
      </c>
      <c r="D94" s="1" t="s">
        <v>45</v>
      </c>
      <c r="E94" s="34">
        <v>3.7499999999999999E-2</v>
      </c>
      <c r="F94" s="20">
        <v>7.4999999999999997E-2</v>
      </c>
      <c r="G94" s="58">
        <v>0.1</v>
      </c>
      <c r="H94" s="35"/>
      <c r="I94" s="48"/>
    </row>
    <row r="95" spans="1:15" x14ac:dyDescent="0.3">
      <c r="A95" s="16"/>
      <c r="B95" s="1"/>
      <c r="C95" s="1"/>
      <c r="D95" s="1"/>
      <c r="E95" s="34"/>
      <c r="F95" s="20"/>
      <c r="G95" s="58"/>
      <c r="H95" s="35"/>
      <c r="I95" s="48"/>
    </row>
    <row r="96" spans="1:15" x14ac:dyDescent="0.3">
      <c r="A96" s="16"/>
      <c r="B96" s="1"/>
      <c r="C96" s="1"/>
      <c r="D96" s="1"/>
      <c r="E96" s="34"/>
      <c r="F96" s="20"/>
      <c r="G96" s="58"/>
      <c r="H96" s="35"/>
      <c r="I96" s="48"/>
    </row>
    <row r="97" spans="1:12" x14ac:dyDescent="0.3">
      <c r="A97" s="16"/>
      <c r="B97" s="47"/>
      <c r="C97" s="1"/>
      <c r="D97" s="1"/>
      <c r="E97" s="1"/>
      <c r="F97" s="1"/>
      <c r="G97" s="17"/>
      <c r="H97" s="48"/>
      <c r="I97" s="48"/>
    </row>
    <row r="98" spans="1:12" x14ac:dyDescent="0.3">
      <c r="A98" s="16">
        <v>2</v>
      </c>
      <c r="B98" s="47"/>
      <c r="C98" s="1" t="s">
        <v>46</v>
      </c>
      <c r="D98" s="1" t="s">
        <v>39</v>
      </c>
      <c r="E98" s="20">
        <v>0.15</v>
      </c>
      <c r="F98" s="20">
        <v>0.15</v>
      </c>
      <c r="G98" s="21">
        <v>0.15</v>
      </c>
      <c r="H98" s="48"/>
      <c r="I98" s="48"/>
    </row>
    <row r="99" spans="1:12" x14ac:dyDescent="0.3">
      <c r="A99" s="16"/>
      <c r="B99" s="47"/>
      <c r="C99" s="1"/>
      <c r="D99" s="1"/>
      <c r="E99" s="1"/>
      <c r="F99" s="1"/>
      <c r="G99" s="17"/>
      <c r="H99" s="48"/>
      <c r="I99" s="48"/>
    </row>
    <row r="100" spans="1:12" x14ac:dyDescent="0.3">
      <c r="A100" s="16">
        <v>3</v>
      </c>
      <c r="B100" s="1"/>
      <c r="C100" s="1" t="s">
        <v>49</v>
      </c>
      <c r="D100" s="1" t="s">
        <v>36</v>
      </c>
      <c r="E100" s="20">
        <v>0.15</v>
      </c>
      <c r="F100" s="20">
        <v>0.15</v>
      </c>
      <c r="G100" s="21">
        <v>0.15</v>
      </c>
      <c r="H100" s="48"/>
      <c r="I100" s="48"/>
    </row>
    <row r="101" spans="1:12" x14ac:dyDescent="0.3">
      <c r="A101" s="16"/>
      <c r="B101" s="1"/>
      <c r="C101" s="1"/>
      <c r="D101" s="1"/>
      <c r="E101" s="20">
        <v>0.5</v>
      </c>
      <c r="F101" s="20">
        <v>0.7</v>
      </c>
      <c r="G101" s="21">
        <v>0.85000000000000009</v>
      </c>
      <c r="H101" s="48"/>
      <c r="I101" s="48"/>
    </row>
    <row r="102" spans="1:12" x14ac:dyDescent="0.3">
      <c r="A102" s="16" t="s">
        <v>30</v>
      </c>
      <c r="B102" s="1"/>
      <c r="C102" s="1" t="s">
        <v>31</v>
      </c>
      <c r="D102" s="1"/>
      <c r="E102" s="1"/>
      <c r="F102" s="1"/>
      <c r="G102" s="17"/>
      <c r="H102" s="48"/>
      <c r="I102" s="48"/>
    </row>
    <row r="103" spans="1:12" x14ac:dyDescent="0.3">
      <c r="A103" s="16" t="s">
        <v>33</v>
      </c>
      <c r="B103" s="1"/>
      <c r="C103" s="1" t="s">
        <v>34</v>
      </c>
      <c r="D103" s="1"/>
      <c r="E103" s="20">
        <v>0.9</v>
      </c>
      <c r="F103" s="20">
        <v>1</v>
      </c>
      <c r="G103" s="21">
        <v>1.1499999999999999</v>
      </c>
      <c r="H103" s="48"/>
      <c r="I103" s="48"/>
    </row>
    <row r="104" spans="1:12" x14ac:dyDescent="0.3">
      <c r="A104" s="16"/>
      <c r="B104" s="1"/>
      <c r="C104" s="1" t="s">
        <v>35</v>
      </c>
      <c r="D104" s="1" t="s">
        <v>36</v>
      </c>
      <c r="E104" s="32">
        <v>75</v>
      </c>
      <c r="F104" s="32">
        <v>150</v>
      </c>
      <c r="G104" s="53">
        <v>225</v>
      </c>
      <c r="H104" s="48"/>
      <c r="I104" s="48">
        <f>E104/775</f>
        <v>9.6774193548387094E-2</v>
      </c>
      <c r="L104" s="73">
        <f>I104*$K$106</f>
        <v>35.260838709677415</v>
      </c>
    </row>
    <row r="105" spans="1:12" x14ac:dyDescent="0.3">
      <c r="A105" s="16"/>
      <c r="B105" s="1"/>
      <c r="C105" s="1" t="s">
        <v>38</v>
      </c>
      <c r="D105" s="1" t="s">
        <v>39</v>
      </c>
      <c r="E105" s="32">
        <v>50</v>
      </c>
      <c r="F105" s="32">
        <v>100</v>
      </c>
      <c r="G105" s="53">
        <v>125</v>
      </c>
      <c r="H105" s="60"/>
      <c r="I105" s="48">
        <f t="shared" ref="I105:I115" si="4">E105/775</f>
        <v>6.4516129032258063E-2</v>
      </c>
      <c r="L105" s="73">
        <f t="shared" ref="L105:L115" si="5">I105*$K$106</f>
        <v>23.507225806451611</v>
      </c>
    </row>
    <row r="106" spans="1:12" x14ac:dyDescent="0.3">
      <c r="A106" s="16"/>
      <c r="B106" s="1"/>
      <c r="C106" s="1" t="s">
        <v>41</v>
      </c>
      <c r="D106" s="1" t="s">
        <v>42</v>
      </c>
      <c r="E106" s="32">
        <v>50</v>
      </c>
      <c r="F106" s="32">
        <v>100</v>
      </c>
      <c r="G106" s="53">
        <v>125</v>
      </c>
      <c r="H106" s="60"/>
      <c r="I106" s="48">
        <f t="shared" si="4"/>
        <v>6.4516129032258063E-2</v>
      </c>
      <c r="K106" s="60">
        <v>364.36199999999997</v>
      </c>
      <c r="L106" s="73">
        <f t="shared" si="5"/>
        <v>23.507225806451611</v>
      </c>
    </row>
    <row r="107" spans="1:12" x14ac:dyDescent="0.3">
      <c r="A107" s="16"/>
      <c r="B107" s="1"/>
      <c r="C107" s="1" t="s">
        <v>44</v>
      </c>
      <c r="D107" s="1" t="s">
        <v>45</v>
      </c>
      <c r="E107" s="32">
        <v>50</v>
      </c>
      <c r="F107" s="32">
        <v>100</v>
      </c>
      <c r="G107" s="53">
        <v>125</v>
      </c>
      <c r="H107" s="60"/>
      <c r="I107" s="48">
        <f t="shared" si="4"/>
        <v>6.4516129032258063E-2</v>
      </c>
      <c r="L107" s="73">
        <f t="shared" si="5"/>
        <v>23.507225806451611</v>
      </c>
    </row>
    <row r="108" spans="1:12" x14ac:dyDescent="0.3">
      <c r="A108" s="16"/>
      <c r="B108" s="1"/>
      <c r="C108" s="1" t="s">
        <v>50</v>
      </c>
      <c r="D108" s="1" t="s">
        <v>51</v>
      </c>
      <c r="E108" s="32"/>
      <c r="F108" s="32"/>
      <c r="G108" s="53"/>
      <c r="H108" s="48"/>
      <c r="I108" s="48">
        <f t="shared" si="4"/>
        <v>0</v>
      </c>
      <c r="L108" s="73">
        <f t="shared" si="5"/>
        <v>0</v>
      </c>
    </row>
    <row r="109" spans="1:12" x14ac:dyDescent="0.3">
      <c r="A109" s="16"/>
      <c r="B109" s="1"/>
      <c r="C109" s="1" t="s">
        <v>342</v>
      </c>
      <c r="D109" s="1" t="s">
        <v>343</v>
      </c>
      <c r="E109" s="32"/>
      <c r="F109" s="32"/>
      <c r="G109" s="53"/>
      <c r="H109" s="48"/>
      <c r="I109" s="48">
        <f t="shared" si="4"/>
        <v>0</v>
      </c>
      <c r="L109" s="73">
        <f t="shared" si="5"/>
        <v>0</v>
      </c>
    </row>
    <row r="110" spans="1:12" x14ac:dyDescent="0.3">
      <c r="A110" s="16"/>
      <c r="B110" s="47"/>
      <c r="C110" s="1"/>
      <c r="D110" s="1"/>
      <c r="E110" s="1"/>
      <c r="F110" s="1"/>
      <c r="G110" s="17"/>
      <c r="H110" s="48"/>
      <c r="I110" s="48">
        <f t="shared" si="4"/>
        <v>0</v>
      </c>
      <c r="K110" s="73"/>
      <c r="L110" s="73">
        <f t="shared" si="5"/>
        <v>0</v>
      </c>
    </row>
    <row r="111" spans="1:12" x14ac:dyDescent="0.3">
      <c r="A111" s="16">
        <v>2</v>
      </c>
      <c r="B111" s="47"/>
      <c r="C111" s="1" t="s">
        <v>46</v>
      </c>
      <c r="D111" s="1" t="s">
        <v>39</v>
      </c>
      <c r="E111" s="32">
        <v>225</v>
      </c>
      <c r="F111" s="32">
        <v>225</v>
      </c>
      <c r="G111" s="53">
        <v>225</v>
      </c>
      <c r="H111" s="48"/>
      <c r="I111" s="48">
        <v>0.28999999999999998</v>
      </c>
      <c r="L111" s="73">
        <f t="shared" si="5"/>
        <v>105.66497999999999</v>
      </c>
    </row>
    <row r="112" spans="1:12" x14ac:dyDescent="0.3">
      <c r="A112" s="16"/>
      <c r="B112" s="47"/>
      <c r="C112" s="1"/>
      <c r="D112" s="1"/>
      <c r="E112" s="1"/>
      <c r="F112" s="1"/>
      <c r="G112" s="17"/>
      <c r="H112" s="48"/>
      <c r="I112" s="48">
        <f t="shared" si="4"/>
        <v>0</v>
      </c>
      <c r="L112" s="73">
        <f t="shared" si="5"/>
        <v>0</v>
      </c>
    </row>
    <row r="113" spans="1:12" x14ac:dyDescent="0.3">
      <c r="A113" s="16">
        <v>3</v>
      </c>
      <c r="B113" s="1"/>
      <c r="C113" s="1" t="s">
        <v>49</v>
      </c>
      <c r="D113" s="1" t="s">
        <v>36</v>
      </c>
      <c r="E113" s="32">
        <v>225</v>
      </c>
      <c r="F113" s="32">
        <v>225</v>
      </c>
      <c r="G113" s="53">
        <v>225</v>
      </c>
      <c r="H113" s="48"/>
      <c r="I113" s="48">
        <v>0.28999999999999998</v>
      </c>
      <c r="L113" s="73">
        <f t="shared" si="5"/>
        <v>105.66497999999999</v>
      </c>
    </row>
    <row r="114" spans="1:12" x14ac:dyDescent="0.3">
      <c r="A114" s="16"/>
      <c r="B114" s="1"/>
      <c r="C114" s="1"/>
      <c r="D114" s="1"/>
      <c r="E114" s="1"/>
      <c r="F114" s="1"/>
      <c r="G114" s="17"/>
      <c r="H114" s="48"/>
      <c r="I114" s="48">
        <f t="shared" si="4"/>
        <v>0</v>
      </c>
      <c r="L114" s="73">
        <f t="shared" si="5"/>
        <v>0</v>
      </c>
    </row>
    <row r="115" spans="1:12" x14ac:dyDescent="0.3">
      <c r="A115" s="54"/>
      <c r="B115" s="55"/>
      <c r="C115" s="55"/>
      <c r="D115" s="55" t="s">
        <v>53</v>
      </c>
      <c r="E115" s="56">
        <f>SUM(E104:E113)</f>
        <v>675</v>
      </c>
      <c r="F115" s="56">
        <f>SUM(F104:F113)</f>
        <v>900</v>
      </c>
      <c r="G115" s="57">
        <f>SUM(G104:G113)</f>
        <v>1050</v>
      </c>
      <c r="H115" s="48"/>
      <c r="I115" s="48">
        <f t="shared" si="4"/>
        <v>0.87096774193548387</v>
      </c>
      <c r="L115" s="73">
        <f t="shared" si="5"/>
        <v>317.34754838709677</v>
      </c>
    </row>
    <row r="117" spans="1:12" ht="18" x14ac:dyDescent="0.35">
      <c r="A117" s="9"/>
      <c r="B117" s="10"/>
      <c r="C117" s="11" t="s">
        <v>22</v>
      </c>
      <c r="D117" s="11" t="s">
        <v>351</v>
      </c>
      <c r="E117" s="12" t="s">
        <v>23</v>
      </c>
      <c r="F117" s="12">
        <v>1500</v>
      </c>
      <c r="G117" s="13" t="s">
        <v>43</v>
      </c>
    </row>
    <row r="118" spans="1:12" x14ac:dyDescent="0.3">
      <c r="A118" s="16" t="s">
        <v>30</v>
      </c>
      <c r="B118" s="1"/>
      <c r="C118" s="1" t="s">
        <v>31</v>
      </c>
      <c r="D118" s="1"/>
      <c r="E118" s="1"/>
      <c r="F118" s="1"/>
      <c r="G118" s="17"/>
    </row>
    <row r="119" spans="1:12" x14ac:dyDescent="0.3">
      <c r="A119" s="16" t="s">
        <v>33</v>
      </c>
      <c r="B119" s="1"/>
      <c r="C119" s="1" t="s">
        <v>34</v>
      </c>
      <c r="D119" s="1"/>
      <c r="E119" s="20">
        <v>0.9</v>
      </c>
      <c r="F119" s="20">
        <v>1</v>
      </c>
      <c r="G119" s="21">
        <v>1.1499999999999999</v>
      </c>
    </row>
    <row r="120" spans="1:12" x14ac:dyDescent="0.3">
      <c r="A120" s="16"/>
      <c r="B120" s="1"/>
      <c r="C120" s="1" t="s">
        <v>35</v>
      </c>
      <c r="D120" s="1" t="s">
        <v>36</v>
      </c>
      <c r="E120" s="20">
        <v>0.05</v>
      </c>
      <c r="F120" s="20">
        <v>0.1</v>
      </c>
      <c r="G120" s="21">
        <v>0.15</v>
      </c>
    </row>
    <row r="121" spans="1:12" x14ac:dyDescent="0.3">
      <c r="A121" s="16"/>
      <c r="B121" s="1"/>
      <c r="C121" s="1" t="s">
        <v>38</v>
      </c>
      <c r="D121" s="1" t="s">
        <v>39</v>
      </c>
      <c r="E121" s="34">
        <v>3.7499999999999999E-2</v>
      </c>
      <c r="F121" s="34">
        <v>7.4999999999999997E-2</v>
      </c>
      <c r="G121" s="58">
        <v>0.1</v>
      </c>
    </row>
    <row r="122" spans="1:12" x14ac:dyDescent="0.3">
      <c r="A122" s="16"/>
      <c r="B122" s="1"/>
      <c r="C122" s="1" t="s">
        <v>41</v>
      </c>
      <c r="D122" s="1" t="s">
        <v>42</v>
      </c>
      <c r="E122" s="34">
        <v>7.4999999999999997E-2</v>
      </c>
      <c r="F122" s="34">
        <v>0.15</v>
      </c>
      <c r="G122" s="58">
        <v>0.2</v>
      </c>
    </row>
    <row r="123" spans="1:12" x14ac:dyDescent="0.3">
      <c r="A123" s="16"/>
      <c r="B123" s="1"/>
      <c r="C123" s="1" t="s">
        <v>44</v>
      </c>
      <c r="D123" s="1" t="s">
        <v>45</v>
      </c>
      <c r="E123" s="34">
        <v>3.7499999999999999E-2</v>
      </c>
      <c r="F123" s="20">
        <v>7.4999999999999997E-2</v>
      </c>
      <c r="G123" s="58">
        <v>0.1</v>
      </c>
    </row>
    <row r="124" spans="1:12" x14ac:dyDescent="0.3">
      <c r="A124" s="16"/>
      <c r="B124" s="47"/>
      <c r="C124" s="1"/>
      <c r="D124" s="1"/>
      <c r="E124" s="1"/>
      <c r="F124" s="1"/>
      <c r="G124" s="17"/>
      <c r="K124" s="73"/>
    </row>
    <row r="125" spans="1:12" x14ac:dyDescent="0.3">
      <c r="A125" s="16">
        <v>2</v>
      </c>
      <c r="B125" s="47"/>
      <c r="C125" s="1" t="s">
        <v>46</v>
      </c>
      <c r="D125" s="1" t="s">
        <v>39</v>
      </c>
      <c r="E125" s="20">
        <v>0.15</v>
      </c>
      <c r="F125" s="20">
        <v>0.15</v>
      </c>
      <c r="G125" s="21">
        <v>0.15</v>
      </c>
    </row>
    <row r="126" spans="1:12" x14ac:dyDescent="0.3">
      <c r="A126" s="16"/>
      <c r="B126" s="47"/>
      <c r="C126" s="1"/>
      <c r="D126" s="1"/>
      <c r="E126" s="1"/>
      <c r="F126" s="1"/>
      <c r="G126" s="17"/>
    </row>
    <row r="127" spans="1:12" x14ac:dyDescent="0.3">
      <c r="A127" s="16">
        <v>3</v>
      </c>
      <c r="B127" s="1"/>
      <c r="C127" s="1" t="s">
        <v>49</v>
      </c>
      <c r="D127" s="1" t="s">
        <v>36</v>
      </c>
      <c r="E127" s="20">
        <v>0.15</v>
      </c>
      <c r="F127" s="20">
        <v>0.15</v>
      </c>
      <c r="G127" s="21">
        <v>0.15</v>
      </c>
    </row>
    <row r="128" spans="1:12" x14ac:dyDescent="0.3">
      <c r="A128" s="16"/>
      <c r="B128" s="1"/>
      <c r="C128" s="1"/>
      <c r="D128" s="1"/>
      <c r="E128" s="20">
        <v>0.5</v>
      </c>
      <c r="F128" s="20">
        <v>0.7</v>
      </c>
      <c r="G128" s="21">
        <v>0.85000000000000009</v>
      </c>
    </row>
    <row r="129" spans="1:7" x14ac:dyDescent="0.3">
      <c r="A129" s="16" t="s">
        <v>30</v>
      </c>
      <c r="B129" s="1"/>
      <c r="C129" s="1" t="s">
        <v>31</v>
      </c>
      <c r="D129" s="1"/>
      <c r="E129" s="1"/>
      <c r="F129" s="1"/>
      <c r="G129" s="17"/>
    </row>
    <row r="130" spans="1:7" x14ac:dyDescent="0.3">
      <c r="A130" s="16" t="s">
        <v>33</v>
      </c>
      <c r="B130" s="1"/>
      <c r="C130" s="1" t="s">
        <v>34</v>
      </c>
      <c r="D130" s="1"/>
      <c r="E130" s="20">
        <v>0.9</v>
      </c>
      <c r="F130" s="20">
        <v>1</v>
      </c>
      <c r="G130" s="21">
        <v>1.1499999999999999</v>
      </c>
    </row>
    <row r="131" spans="1:7" x14ac:dyDescent="0.3">
      <c r="A131" s="16"/>
      <c r="B131" s="1"/>
      <c r="C131" s="1" t="s">
        <v>35</v>
      </c>
      <c r="D131" s="1" t="s">
        <v>352</v>
      </c>
      <c r="E131" s="32">
        <v>75</v>
      </c>
      <c r="F131" s="32">
        <v>150</v>
      </c>
      <c r="G131" s="53">
        <v>225</v>
      </c>
    </row>
    <row r="132" spans="1:7" x14ac:dyDescent="0.3">
      <c r="A132" s="16"/>
      <c r="B132" s="1"/>
      <c r="C132" s="1" t="s">
        <v>38</v>
      </c>
      <c r="D132" s="1" t="s">
        <v>42</v>
      </c>
      <c r="E132" s="32">
        <v>100</v>
      </c>
      <c r="F132" s="32">
        <v>225</v>
      </c>
      <c r="G132" s="53">
        <v>300</v>
      </c>
    </row>
    <row r="133" spans="1:7" x14ac:dyDescent="0.3">
      <c r="A133" s="16"/>
      <c r="B133" s="47"/>
      <c r="C133" s="1"/>
      <c r="D133" s="1"/>
      <c r="E133" s="1"/>
      <c r="F133" s="1"/>
      <c r="G133" s="17"/>
    </row>
    <row r="134" spans="1:7" x14ac:dyDescent="0.3">
      <c r="A134" s="16" t="s">
        <v>353</v>
      </c>
      <c r="B134" s="1"/>
      <c r="C134" s="1" t="s">
        <v>49</v>
      </c>
      <c r="D134" s="1" t="s">
        <v>49</v>
      </c>
      <c r="E134" s="32">
        <v>225</v>
      </c>
      <c r="F134" s="32">
        <v>225</v>
      </c>
      <c r="G134" s="53">
        <v>225</v>
      </c>
    </row>
    <row r="135" spans="1:7" x14ac:dyDescent="0.3">
      <c r="A135" s="16"/>
      <c r="B135" s="1"/>
      <c r="C135" s="1"/>
      <c r="D135" s="1"/>
      <c r="E135" s="1"/>
      <c r="F135" s="1"/>
      <c r="G135" s="17"/>
    </row>
    <row r="136" spans="1:7" x14ac:dyDescent="0.3">
      <c r="A136" s="54"/>
      <c r="B136" s="55"/>
      <c r="C136" s="55"/>
      <c r="D136" s="55" t="s">
        <v>17</v>
      </c>
      <c r="E136" s="56">
        <f>SUM(E131:E134)</f>
        <v>400</v>
      </c>
      <c r="F136" s="56">
        <f>SUM(F131:F134)</f>
        <v>600</v>
      </c>
      <c r="G136" s="57">
        <f>SUM(G131:G134)</f>
        <v>750</v>
      </c>
    </row>
  </sheetData>
  <mergeCells count="22">
    <mergeCell ref="T44:U44"/>
    <mergeCell ref="V44:W44"/>
    <mergeCell ref="T12:W12"/>
    <mergeCell ref="U29:W29"/>
    <mergeCell ref="T37:W37"/>
    <mergeCell ref="T38:U38"/>
    <mergeCell ref="T39:U39"/>
    <mergeCell ref="T40:U40"/>
    <mergeCell ref="T43:W43"/>
    <mergeCell ref="U24:W24"/>
    <mergeCell ref="U25:W25"/>
    <mergeCell ref="U22:W22"/>
    <mergeCell ref="U2:W2"/>
    <mergeCell ref="AA2:AC2"/>
    <mergeCell ref="U19:W19"/>
    <mergeCell ref="U20:W20"/>
    <mergeCell ref="U21:W21"/>
    <mergeCell ref="AA29:AC29"/>
    <mergeCell ref="AI2:AK2"/>
    <mergeCell ref="AQ2:AS2"/>
    <mergeCell ref="AI15:AK15"/>
    <mergeCell ref="AQ15:AS1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29:G29 F86 AS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F4A5-4DC2-4C23-9AAD-139DB76FC4D5}">
  <sheetPr>
    <tabColor rgb="FFFFFF00"/>
  </sheetPr>
  <dimension ref="A2:L35"/>
  <sheetViews>
    <sheetView topLeftCell="A4" workbookViewId="0">
      <selection activeCell="F13" sqref="F13"/>
    </sheetView>
  </sheetViews>
  <sheetFormatPr defaultColWidth="22.33203125" defaultRowHeight="14.4" x14ac:dyDescent="0.3"/>
  <sheetData>
    <row r="2" spans="1:12" x14ac:dyDescent="0.3">
      <c r="A2" t="s">
        <v>5</v>
      </c>
      <c r="B2" t="s">
        <v>619</v>
      </c>
      <c r="C2" t="s">
        <v>503</v>
      </c>
      <c r="D2" t="s">
        <v>620</v>
      </c>
      <c r="E2" t="s">
        <v>621</v>
      </c>
      <c r="F2" s="125" t="s">
        <v>317</v>
      </c>
      <c r="G2" t="s">
        <v>456</v>
      </c>
      <c r="H2" t="s">
        <v>457</v>
      </c>
      <c r="I2" t="s">
        <v>458</v>
      </c>
      <c r="J2" t="s">
        <v>459</v>
      </c>
      <c r="K2" t="s">
        <v>437</v>
      </c>
      <c r="L2" t="s">
        <v>17</v>
      </c>
    </row>
    <row r="3" spans="1:12" x14ac:dyDescent="0.3">
      <c r="A3" s="203" t="s">
        <v>64</v>
      </c>
      <c r="B3" s="201">
        <v>17</v>
      </c>
      <c r="C3" s="201">
        <v>17</v>
      </c>
      <c r="D3" s="202">
        <v>1</v>
      </c>
      <c r="E3" s="202">
        <v>18</v>
      </c>
      <c r="F3" s="125">
        <f>IFERROR(Base_APP[[#This Row],[Dias_Enviados]]/(Base_APP[[#This Row],[Meta]]-Base_APP[[#This Row],[Dias_Abonados]]),1)</f>
        <v>1.0625</v>
      </c>
      <c r="G3" s="169"/>
      <c r="I3" t="str">
        <f>IFERROR(VLOOKUP(Base_APP[[#This Row],[Promotor]],Promotores[Promotor],1,0),"")</f>
        <v>ANDRESSA NEVES</v>
      </c>
    </row>
    <row r="4" spans="1:12" x14ac:dyDescent="0.3">
      <c r="A4" s="203" t="s">
        <v>65</v>
      </c>
      <c r="B4" s="201">
        <v>14</v>
      </c>
      <c r="C4" s="201">
        <v>17</v>
      </c>
      <c r="D4" s="202">
        <v>1</v>
      </c>
      <c r="E4" s="202">
        <v>15</v>
      </c>
      <c r="F4" s="125">
        <f>IFERROR(Base_APP[[#This Row],[Dias_Enviados]]/(Base_APP[[#This Row],[Meta]]-Base_APP[[#This Row],[Dias_Abonados]]),1)</f>
        <v>0.875</v>
      </c>
      <c r="G4" s="169"/>
      <c r="I4" t="str">
        <f>IFERROR(VLOOKUP(Base_APP[[#This Row],[Promotor]],Promotores[Promotor],1,0),"")</f>
        <v>ANGELA</v>
      </c>
    </row>
    <row r="5" spans="1:12" x14ac:dyDescent="0.3">
      <c r="A5" s="203" t="s">
        <v>565</v>
      </c>
      <c r="B5" s="201">
        <v>19</v>
      </c>
      <c r="C5" s="201">
        <v>17</v>
      </c>
      <c r="D5" s="202">
        <v>1</v>
      </c>
      <c r="E5" s="202">
        <v>20</v>
      </c>
      <c r="F5" s="125">
        <f>IFERROR(Base_APP[[#This Row],[Dias_Enviados]]/(Base_APP[[#This Row],[Meta]]-Base_APP[[#This Row],[Dias_Abonados]]),1)</f>
        <v>1.1875</v>
      </c>
      <c r="G5" s="169"/>
      <c r="I5" t="str">
        <f>IFERROR(VLOOKUP(Base_APP[[#This Row],[Promotor]],Promotores[Promotor],1,0),"")</f>
        <v>CARLOS HENRIQUE</v>
      </c>
    </row>
    <row r="6" spans="1:12" x14ac:dyDescent="0.3">
      <c r="A6" s="203" t="s">
        <v>356</v>
      </c>
      <c r="B6" s="201">
        <v>18</v>
      </c>
      <c r="C6" s="201">
        <v>17</v>
      </c>
      <c r="D6" s="202">
        <v>1</v>
      </c>
      <c r="E6" s="202">
        <v>19</v>
      </c>
      <c r="F6" s="125">
        <f>IFERROR(Base_APP[[#This Row],[Dias_Enviados]]/(Base_APP[[#This Row],[Meta]]-Base_APP[[#This Row],[Dias_Abonados]]),1)</f>
        <v>1.125</v>
      </c>
      <c r="G6" s="169"/>
      <c r="I6" t="str">
        <f>IFERROR(VLOOKUP(Base_APP[[#This Row],[Promotor]],Promotores[Promotor],1,0),"")</f>
        <v>CLEANE BRANDAO</v>
      </c>
    </row>
    <row r="7" spans="1:12" x14ac:dyDescent="0.3">
      <c r="A7" s="203" t="s">
        <v>549</v>
      </c>
      <c r="B7" s="201">
        <v>12</v>
      </c>
      <c r="C7" s="201">
        <v>17</v>
      </c>
      <c r="D7" s="202">
        <v>4</v>
      </c>
      <c r="E7" s="202">
        <v>16</v>
      </c>
      <c r="F7" s="125">
        <f>IFERROR(Base_APP[[#This Row],[Dias_Enviados]]/(Base_APP[[#This Row],[Meta]]-Base_APP[[#This Row],[Dias_Abonados]]),1)</f>
        <v>0.92307692307692313</v>
      </c>
      <c r="G7" s="169"/>
      <c r="I7" t="str">
        <f>IFERROR(VLOOKUP(Base_APP[[#This Row],[Promotor]],Promotores[Promotor],1,0),"")</f>
        <v>DANIELE</v>
      </c>
    </row>
    <row r="8" spans="1:12" x14ac:dyDescent="0.3">
      <c r="A8" s="203" t="s">
        <v>514</v>
      </c>
      <c r="B8" s="201">
        <v>25</v>
      </c>
      <c r="C8" s="201">
        <v>17</v>
      </c>
      <c r="D8" s="202">
        <v>1</v>
      </c>
      <c r="E8" s="202">
        <v>26</v>
      </c>
      <c r="F8" s="125">
        <f>IFERROR(Base_APP[[#This Row],[Dias_Enviados]]/(Base_APP[[#This Row],[Meta]]-Base_APP[[#This Row],[Dias_Abonados]]),1)</f>
        <v>1.5625</v>
      </c>
      <c r="G8" s="169"/>
      <c r="I8" t="str">
        <f>IFERROR(VLOOKUP(Base_APP[[#This Row],[Promotor]],Promotores[Promotor],1,0),"")</f>
        <v>DIEGO</v>
      </c>
    </row>
    <row r="9" spans="1:12" x14ac:dyDescent="0.3">
      <c r="A9" s="203" t="s">
        <v>104</v>
      </c>
      <c r="B9" s="201">
        <v>4</v>
      </c>
      <c r="C9" s="201">
        <v>17</v>
      </c>
      <c r="D9" s="202">
        <v>0</v>
      </c>
      <c r="E9" s="202">
        <v>4</v>
      </c>
      <c r="F9" s="125">
        <f>IFERROR(Base_APP[[#This Row],[Dias_Enviados]]/(Base_APP[[#This Row],[Meta]]-Base_APP[[#This Row],[Dias_Abonados]]),1)</f>
        <v>0.23529411764705882</v>
      </c>
      <c r="G9" s="169"/>
      <c r="I9" t="str">
        <f>IFERROR(VLOOKUP(Base_APP[[#This Row],[Promotor]],Promotores[Promotor],1,0),"")</f>
        <v/>
      </c>
    </row>
    <row r="10" spans="1:12" x14ac:dyDescent="0.3">
      <c r="A10" s="203" t="s">
        <v>71</v>
      </c>
      <c r="B10" s="201">
        <v>14</v>
      </c>
      <c r="C10" s="201">
        <v>17</v>
      </c>
      <c r="D10" s="202">
        <v>1</v>
      </c>
      <c r="E10" s="202">
        <v>15</v>
      </c>
      <c r="F10" s="125">
        <f>IFERROR(Base_APP[[#This Row],[Dias_Enviados]]/(Base_APP[[#This Row],[Meta]]-Base_APP[[#This Row],[Dias_Abonados]]),1)</f>
        <v>0.875</v>
      </c>
      <c r="G10" s="169"/>
      <c r="I10" t="str">
        <f>IFERROR(VLOOKUP(Base_APP[[#This Row],[Promotor]],Promotores[Promotor],1,0),"")</f>
        <v>ELENILDE</v>
      </c>
    </row>
    <row r="11" spans="1:12" x14ac:dyDescent="0.3">
      <c r="A11" s="203" t="s">
        <v>595</v>
      </c>
      <c r="B11" s="201">
        <v>21</v>
      </c>
      <c r="C11" s="201">
        <v>17</v>
      </c>
      <c r="D11" s="202">
        <v>0</v>
      </c>
      <c r="E11" s="202">
        <v>21</v>
      </c>
      <c r="F11" s="125">
        <f>IFERROR(Base_APP[[#This Row],[Dias_Enviados]]/(Base_APP[[#This Row],[Meta]]-Base_APP[[#This Row],[Dias_Abonados]]),1)</f>
        <v>1.2352941176470589</v>
      </c>
      <c r="G11" s="169"/>
      <c r="I11" t="str">
        <f>IFERROR(VLOOKUP(Base_APP[[#This Row],[Promotor]],Promotores[Promotor],1,0),"")</f>
        <v>FABIANE</v>
      </c>
    </row>
    <row r="12" spans="1:12" x14ac:dyDescent="0.3">
      <c r="A12" s="203" t="s">
        <v>593</v>
      </c>
      <c r="B12" s="201">
        <v>16</v>
      </c>
      <c r="C12" s="201">
        <v>17</v>
      </c>
      <c r="D12" s="202">
        <v>1</v>
      </c>
      <c r="E12" s="202">
        <v>17</v>
      </c>
      <c r="F12" s="125">
        <f>IFERROR(Base_APP[[#This Row],[Dias_Enviados]]/(Base_APP[[#This Row],[Meta]]-Base_APP[[#This Row],[Dias_Abonados]]),1)</f>
        <v>1</v>
      </c>
      <c r="G12" s="169"/>
      <c r="I12" t="str">
        <f>IFERROR(VLOOKUP(Base_APP[[#This Row],[Promotor]],Promotores[Promotor],1,0),"")</f>
        <v>FERNANDO</v>
      </c>
    </row>
    <row r="13" spans="1:12" x14ac:dyDescent="0.3">
      <c r="A13" s="203" t="s">
        <v>600</v>
      </c>
      <c r="B13" s="201">
        <v>24</v>
      </c>
      <c r="C13" s="201">
        <v>17</v>
      </c>
      <c r="D13" s="202">
        <v>1</v>
      </c>
      <c r="E13" s="202">
        <v>25</v>
      </c>
      <c r="F13" s="125">
        <f>IFERROR(Base_APP[[#This Row],[Dias_Enviados]]/(Base_APP[[#This Row],[Meta]]-Base_APP[[#This Row],[Dias_Abonados]]),1)</f>
        <v>1.5</v>
      </c>
      <c r="G13" s="169"/>
      <c r="I13" t="str">
        <f>IFERROR(VLOOKUP(Base_APP[[#This Row],[Promotor]],Promotores[Promotor],1,0),"")</f>
        <v>GILERLESON</v>
      </c>
    </row>
    <row r="14" spans="1:12" x14ac:dyDescent="0.3">
      <c r="A14" s="203" t="s">
        <v>551</v>
      </c>
      <c r="B14" s="201">
        <v>6</v>
      </c>
      <c r="C14" s="201">
        <v>17</v>
      </c>
      <c r="D14" s="202">
        <v>1</v>
      </c>
      <c r="E14" s="202">
        <v>7</v>
      </c>
      <c r="F14" s="125">
        <f>IFERROR(Base_APP[[#This Row],[Dias_Enviados]]/(Base_APP[[#This Row],[Meta]]-Base_APP[[#This Row],[Dias_Abonados]]),1)</f>
        <v>0.375</v>
      </c>
      <c r="G14" s="169"/>
      <c r="I14" t="str">
        <f>IFERROR(VLOOKUP(Base_APP[[#This Row],[Promotor]],Promotores[Promotor],1,0),"")</f>
        <v>GUILHERME</v>
      </c>
    </row>
    <row r="15" spans="1:12" x14ac:dyDescent="0.3">
      <c r="A15" s="203" t="s">
        <v>566</v>
      </c>
      <c r="B15" s="201">
        <v>15</v>
      </c>
      <c r="C15" s="201">
        <v>17</v>
      </c>
      <c r="D15" s="202">
        <v>1</v>
      </c>
      <c r="E15" s="202">
        <v>16</v>
      </c>
      <c r="F15" s="125">
        <f>IFERROR(Base_APP[[#This Row],[Dias_Enviados]]/(Base_APP[[#This Row],[Meta]]-Base_APP[[#This Row],[Dias_Abonados]]),1)</f>
        <v>0.9375</v>
      </c>
      <c r="G15" s="169"/>
      <c r="I15" t="str">
        <f>IFERROR(VLOOKUP(Base_APP[[#This Row],[Promotor]],Promotores[Promotor],1,0),"")</f>
        <v>ISABELLA</v>
      </c>
    </row>
    <row r="16" spans="1:12" x14ac:dyDescent="0.3">
      <c r="A16" s="203" t="s">
        <v>596</v>
      </c>
      <c r="B16" s="201">
        <v>12</v>
      </c>
      <c r="C16" s="201">
        <v>17</v>
      </c>
      <c r="D16" s="202">
        <v>1</v>
      </c>
      <c r="E16" s="202">
        <v>13</v>
      </c>
      <c r="F16" s="125">
        <f>IFERROR(Base_APP[[#This Row],[Dias_Enviados]]/(Base_APP[[#This Row],[Meta]]-Base_APP[[#This Row],[Dias_Abonados]]),1)</f>
        <v>0.75</v>
      </c>
      <c r="G16" s="169"/>
      <c r="I16" t="str">
        <f>IFERROR(VLOOKUP(Base_APP[[#This Row],[Promotor]],Promotores[Promotor],1,0),"")</f>
        <v>JOICINARA</v>
      </c>
    </row>
    <row r="17" spans="1:9" x14ac:dyDescent="0.3">
      <c r="A17" s="203" t="s">
        <v>603</v>
      </c>
      <c r="B17" s="201">
        <v>10</v>
      </c>
      <c r="C17" s="201">
        <v>17</v>
      </c>
      <c r="D17" s="202">
        <v>0</v>
      </c>
      <c r="E17" s="202">
        <v>10</v>
      </c>
      <c r="F17" s="125">
        <f>IFERROR(Base_APP[[#This Row],[Dias_Enviados]]/(Base_APP[[#This Row],[Meta]]-Base_APP[[#This Row],[Dias_Abonados]]),1)</f>
        <v>0.58823529411764708</v>
      </c>
      <c r="G17" s="169"/>
      <c r="I17" t="str">
        <f>IFERROR(VLOOKUP(Base_APP[[#This Row],[Promotor]],Promotores[Promotor],1,0),"")</f>
        <v>JÉSSICA</v>
      </c>
    </row>
    <row r="18" spans="1:9" x14ac:dyDescent="0.3">
      <c r="A18" s="203" t="s">
        <v>552</v>
      </c>
      <c r="B18" s="201">
        <v>12</v>
      </c>
      <c r="C18" s="201">
        <v>17</v>
      </c>
      <c r="D18" s="202">
        <v>1</v>
      </c>
      <c r="E18" s="202">
        <v>13</v>
      </c>
      <c r="F18" s="125">
        <f>IFERROR(Base_APP[[#This Row],[Dias_Enviados]]/(Base_APP[[#This Row],[Meta]]-Base_APP[[#This Row],[Dias_Abonados]]),1)</f>
        <v>0.75</v>
      </c>
      <c r="G18" s="169"/>
      <c r="I18" t="str">
        <f>IFERROR(VLOOKUP(Base_APP[[#This Row],[Promotor]],Promotores[Promotor],1,0),"")</f>
        <v>KAYTH</v>
      </c>
    </row>
    <row r="19" spans="1:9" x14ac:dyDescent="0.3">
      <c r="A19" s="203" t="s">
        <v>544</v>
      </c>
      <c r="B19" s="201">
        <v>24</v>
      </c>
      <c r="C19" s="201">
        <v>17</v>
      </c>
      <c r="D19" s="202">
        <v>0</v>
      </c>
      <c r="E19" s="202">
        <v>24</v>
      </c>
      <c r="F19" s="125">
        <f>IFERROR(Base_APP[[#This Row],[Dias_Enviados]]/(Base_APP[[#This Row],[Meta]]-Base_APP[[#This Row],[Dias_Abonados]]),1)</f>
        <v>1.411764705882353</v>
      </c>
      <c r="G19" s="169"/>
      <c r="I19" t="str">
        <f>IFERROR(VLOOKUP(Base_APP[[#This Row],[Promotor]],Promotores[Promotor],1,0),"")</f>
        <v>LETICIA</v>
      </c>
    </row>
    <row r="20" spans="1:9" x14ac:dyDescent="0.3">
      <c r="A20" s="203" t="s">
        <v>623</v>
      </c>
      <c r="B20" s="201">
        <v>2</v>
      </c>
      <c r="C20" s="201">
        <v>17</v>
      </c>
      <c r="D20" s="202">
        <v>0</v>
      </c>
      <c r="E20" s="202">
        <v>2</v>
      </c>
      <c r="F20" s="125">
        <f>IFERROR(Base_APP[[#This Row],[Dias_Enviados]]/(Base_APP[[#This Row],[Meta]]-Base_APP[[#This Row],[Dias_Abonados]]),1)</f>
        <v>0.11764705882352941</v>
      </c>
      <c r="G20" s="169"/>
      <c r="I20" t="str">
        <f>IFERROR(VLOOKUP(Base_APP[[#This Row],[Promotor]],Promotores[Promotor],1,0),"")</f>
        <v/>
      </c>
    </row>
    <row r="21" spans="1:9" x14ac:dyDescent="0.3">
      <c r="A21" s="203" t="s">
        <v>633</v>
      </c>
      <c r="B21" s="201">
        <v>4</v>
      </c>
      <c r="C21" s="201">
        <v>17</v>
      </c>
      <c r="D21" s="202">
        <v>0</v>
      </c>
      <c r="E21" s="202">
        <v>4</v>
      </c>
      <c r="F21" s="125">
        <f>IFERROR(Base_APP[[#This Row],[Dias_Enviados]]/(Base_APP[[#This Row],[Meta]]-Base_APP[[#This Row],[Dias_Abonados]]),1)</f>
        <v>0.23529411764705882</v>
      </c>
      <c r="G21" s="169"/>
      <c r="I21" t="str">
        <f>IFERROR(VLOOKUP(Base_APP[[#This Row],[Promotor]],Promotores[Promotor],1,0),"")</f>
        <v/>
      </c>
    </row>
    <row r="22" spans="1:9" x14ac:dyDescent="0.3">
      <c r="A22" s="203" t="s">
        <v>78</v>
      </c>
      <c r="B22" s="201">
        <v>17</v>
      </c>
      <c r="C22" s="201">
        <v>17</v>
      </c>
      <c r="D22" s="202">
        <v>0</v>
      </c>
      <c r="E22" s="202">
        <v>17</v>
      </c>
      <c r="F22" s="125">
        <f>IFERROR(Base_APP[[#This Row],[Dias_Enviados]]/(Base_APP[[#This Row],[Meta]]-Base_APP[[#This Row],[Dias_Abonados]]),1)</f>
        <v>1</v>
      </c>
      <c r="G22" s="169"/>
      <c r="I22" t="str">
        <f>IFERROR(VLOOKUP(Base_APP[[#This Row],[Promotor]],Promotores[Promotor],1,0),"")</f>
        <v>MARIA</v>
      </c>
    </row>
    <row r="23" spans="1:9" x14ac:dyDescent="0.3">
      <c r="A23" s="203" t="s">
        <v>578</v>
      </c>
      <c r="B23" s="201">
        <v>13</v>
      </c>
      <c r="C23" s="201">
        <v>17</v>
      </c>
      <c r="D23" s="202">
        <v>1</v>
      </c>
      <c r="E23" s="202">
        <v>14</v>
      </c>
      <c r="F23" s="125">
        <f>IFERROR(Base_APP[[#This Row],[Dias_Enviados]]/(Base_APP[[#This Row],[Meta]]-Base_APP[[#This Row],[Dias_Abonados]]),1)</f>
        <v>0.8125</v>
      </c>
      <c r="G23" s="169"/>
      <c r="I23" t="str">
        <f>IFERROR(VLOOKUP(Base_APP[[#This Row],[Promotor]],Promotores[Promotor],1,0),"")</f>
        <v>PAULO</v>
      </c>
    </row>
    <row r="24" spans="1:9" x14ac:dyDescent="0.3">
      <c r="A24" s="203" t="s">
        <v>597</v>
      </c>
      <c r="B24" s="201">
        <v>8</v>
      </c>
      <c r="C24" s="201">
        <v>17</v>
      </c>
      <c r="D24" s="202">
        <v>1</v>
      </c>
      <c r="E24" s="202">
        <v>9</v>
      </c>
      <c r="F24" s="125">
        <f>IFERROR(Base_APP[[#This Row],[Dias_Enviados]]/(Base_APP[[#This Row],[Meta]]-Base_APP[[#This Row],[Dias_Abonados]]),1)</f>
        <v>0.5</v>
      </c>
      <c r="G24" s="169"/>
      <c r="I24" t="str">
        <f>IFERROR(VLOOKUP(Base_APP[[#This Row],[Promotor]],Promotores[Promotor],1,0),"")</f>
        <v>PAULO NATAN</v>
      </c>
    </row>
    <row r="25" spans="1:9" x14ac:dyDescent="0.3">
      <c r="A25" s="203" t="s">
        <v>354</v>
      </c>
      <c r="B25" s="201">
        <v>20</v>
      </c>
      <c r="C25" s="201">
        <v>17</v>
      </c>
      <c r="D25" s="202">
        <v>1</v>
      </c>
      <c r="E25" s="202">
        <v>21</v>
      </c>
      <c r="F25" s="125">
        <f>IFERROR(Base_APP[[#This Row],[Dias_Enviados]]/(Base_APP[[#This Row],[Meta]]-Base_APP[[#This Row],[Dias_Abonados]]),1)</f>
        <v>1.25</v>
      </c>
      <c r="G25" s="169"/>
      <c r="I25" t="str">
        <f>IFERROR(VLOOKUP(Base_APP[[#This Row],[Promotor]],Promotores[Promotor],1,0),"")</f>
        <v>RAIMUNDO</v>
      </c>
    </row>
    <row r="26" spans="1:9" x14ac:dyDescent="0.3">
      <c r="A26" s="203" t="s">
        <v>83</v>
      </c>
      <c r="B26" s="201">
        <v>23</v>
      </c>
      <c r="C26" s="201">
        <v>17</v>
      </c>
      <c r="D26" s="202">
        <v>1</v>
      </c>
      <c r="E26" s="202">
        <v>24</v>
      </c>
      <c r="F26" s="125">
        <f>IFERROR(Base_APP[[#This Row],[Dias_Enviados]]/(Base_APP[[#This Row],[Meta]]-Base_APP[[#This Row],[Dias_Abonados]]),1)</f>
        <v>1.4375</v>
      </c>
      <c r="G26" s="169"/>
      <c r="I26" t="str">
        <f>IFERROR(VLOOKUP(Base_APP[[#This Row],[Promotor]],Promotores[Promotor],1,0),"")</f>
        <v>RARIEL</v>
      </c>
    </row>
    <row r="27" spans="1:9" x14ac:dyDescent="0.3">
      <c r="A27" s="203" t="s">
        <v>84</v>
      </c>
      <c r="B27" s="201">
        <v>9</v>
      </c>
      <c r="C27" s="201">
        <v>17</v>
      </c>
      <c r="D27" s="202">
        <v>1</v>
      </c>
      <c r="E27" s="202">
        <v>10</v>
      </c>
      <c r="F27" s="125">
        <f>IFERROR(Base_APP[[#This Row],[Dias_Enviados]]/(Base_APP[[#This Row],[Meta]]-Base_APP[[#This Row],[Dias_Abonados]]),1)</f>
        <v>0.5625</v>
      </c>
      <c r="G27" s="169"/>
      <c r="I27" t="str">
        <f>IFERROR(VLOOKUP(Base_APP[[#This Row],[Promotor]],Promotores[Promotor],1,0),"")</f>
        <v>RAYARA</v>
      </c>
    </row>
    <row r="28" spans="1:9" x14ac:dyDescent="0.3">
      <c r="A28" s="203" t="s">
        <v>609</v>
      </c>
      <c r="B28" s="201">
        <v>24</v>
      </c>
      <c r="C28" s="201">
        <v>17</v>
      </c>
      <c r="D28" s="202">
        <v>1</v>
      </c>
      <c r="E28" s="202">
        <v>25</v>
      </c>
      <c r="F28" s="125">
        <f>IFERROR(Base_APP[[#This Row],[Dias_Enviados]]/(Base_APP[[#This Row],[Meta]]-Base_APP[[#This Row],[Dias_Abonados]]),1)</f>
        <v>1.5</v>
      </c>
      <c r="G28" s="169"/>
      <c r="I28" t="str">
        <f>IFERROR(VLOOKUP(Base_APP[[#This Row],[Promotor]],Promotores[Promotor],1,0),"")</f>
        <v>RAYLLA</v>
      </c>
    </row>
    <row r="29" spans="1:9" x14ac:dyDescent="0.3">
      <c r="A29" s="203" t="s">
        <v>85</v>
      </c>
      <c r="B29" s="201">
        <v>8</v>
      </c>
      <c r="C29" s="201">
        <v>17</v>
      </c>
      <c r="D29" s="202">
        <v>0</v>
      </c>
      <c r="E29" s="202">
        <v>8</v>
      </c>
      <c r="F29" s="125">
        <f>IFERROR(Base_APP[[#This Row],[Dias_Enviados]]/(Base_APP[[#This Row],[Meta]]-Base_APP[[#This Row],[Dias_Abonados]]),1)</f>
        <v>0.47058823529411764</v>
      </c>
      <c r="G29" s="169"/>
      <c r="I29" t="str">
        <f>IFERROR(VLOOKUP(Base_APP[[#This Row],[Promotor]],Promotores[Promotor],1,0),"")</f>
        <v/>
      </c>
    </row>
    <row r="30" spans="1:9" x14ac:dyDescent="0.3">
      <c r="A30" s="203" t="s">
        <v>423</v>
      </c>
      <c r="B30" s="201">
        <v>13</v>
      </c>
      <c r="C30" s="201">
        <v>17</v>
      </c>
      <c r="D30" s="202">
        <v>1</v>
      </c>
      <c r="E30" s="202">
        <v>14</v>
      </c>
      <c r="F30" s="125">
        <f>IFERROR(Base_APP[[#This Row],[Dias_Enviados]]/(Base_APP[[#This Row],[Meta]]-Base_APP[[#This Row],[Dias_Abonados]]),1)</f>
        <v>0.8125</v>
      </c>
      <c r="G30" s="169"/>
      <c r="I30" t="str">
        <f>IFERROR(VLOOKUP(Base_APP[[#This Row],[Promotor]],Promotores[Promotor],1,0),"")</f>
        <v>SILDIENY</v>
      </c>
    </row>
    <row r="31" spans="1:9" x14ac:dyDescent="0.3">
      <c r="A31" s="203" t="s">
        <v>624</v>
      </c>
      <c r="B31" s="201">
        <v>4</v>
      </c>
      <c r="C31" s="201">
        <v>17</v>
      </c>
      <c r="D31" s="202">
        <v>0</v>
      </c>
      <c r="E31" s="202">
        <v>4</v>
      </c>
      <c r="F31" s="125">
        <f>IFERROR(Base_APP[[#This Row],[Dias_Enviados]]/(Base_APP[[#This Row],[Meta]]-Base_APP[[#This Row],[Dias_Abonados]]),1)</f>
        <v>0.23529411764705882</v>
      </c>
      <c r="G31" s="169"/>
      <c r="I31" t="str">
        <f>IFERROR(VLOOKUP(Base_APP[[#This Row],[Promotor]],Promotores[Promotor],1,0),"")</f>
        <v/>
      </c>
    </row>
    <row r="32" spans="1:9" x14ac:dyDescent="0.3">
      <c r="A32" s="203" t="s">
        <v>223</v>
      </c>
      <c r="B32" s="201">
        <v>11</v>
      </c>
      <c r="C32" s="201">
        <v>17</v>
      </c>
      <c r="D32" s="202">
        <v>0</v>
      </c>
      <c r="E32" s="202">
        <v>11</v>
      </c>
      <c r="F32" s="125">
        <f>IFERROR(Base_APP[[#This Row],[Dias_Enviados]]/(Base_APP[[#This Row],[Meta]]-Base_APP[[#This Row],[Dias_Abonados]]),1)</f>
        <v>0.6470588235294118</v>
      </c>
      <c r="G32" s="169"/>
      <c r="I32" t="str">
        <f>IFERROR(VLOOKUP(Base_APP[[#This Row],[Promotor]],Promotores[Promotor],1,0),"")</f>
        <v/>
      </c>
    </row>
    <row r="33" spans="1:9" x14ac:dyDescent="0.3">
      <c r="A33" s="203" t="s">
        <v>622</v>
      </c>
      <c r="B33" s="201">
        <v>8</v>
      </c>
      <c r="C33" s="201">
        <v>17</v>
      </c>
      <c r="D33" s="202">
        <v>1</v>
      </c>
      <c r="E33" s="202">
        <v>9</v>
      </c>
      <c r="F33" s="125">
        <f>IFERROR(Base_APP[[#This Row],[Dias_Enviados]]/(Base_APP[[#This Row],[Meta]]-Base_APP[[#This Row],[Dias_Abonados]]),1)</f>
        <v>0.5</v>
      </c>
      <c r="G33" s="169"/>
      <c r="I33" t="str">
        <f>IFERROR(VLOOKUP(Base_APP[[#This Row],[Promotor]],Promotores[Promotor],1,0),"")</f>
        <v>VILMENIA</v>
      </c>
    </row>
    <row r="34" spans="1:9" x14ac:dyDescent="0.3">
      <c r="A34" s="203" t="s">
        <v>357</v>
      </c>
      <c r="B34" s="201">
        <v>18</v>
      </c>
      <c r="C34" s="201">
        <v>17</v>
      </c>
      <c r="D34" s="202">
        <v>1</v>
      </c>
      <c r="E34" s="202">
        <v>19</v>
      </c>
      <c r="F34" s="125">
        <f>IFERROR(Base_APP[[#This Row],[Dias_Enviados]]/(Base_APP[[#This Row],[Meta]]-Base_APP[[#This Row],[Dias_Abonados]]),1)</f>
        <v>1.125</v>
      </c>
      <c r="G34" s="169"/>
      <c r="I34" t="str">
        <f>IFERROR(VLOOKUP(Base_APP[[#This Row],[Promotor]],Promotores[Promotor],1,0),"")</f>
        <v>WILIANE</v>
      </c>
    </row>
    <row r="35" spans="1:9" x14ac:dyDescent="0.3">
      <c r="A35" s="203" t="s">
        <v>582</v>
      </c>
      <c r="B35" s="201">
        <v>14</v>
      </c>
      <c r="C35" s="201">
        <v>17</v>
      </c>
      <c r="D35" s="202">
        <v>1</v>
      </c>
      <c r="E35" s="202">
        <v>15</v>
      </c>
      <c r="F35" s="125">
        <f>IFERROR(Base_APP[[#This Row],[Dias_Enviados]]/(Base_APP[[#This Row],[Meta]]-Base_APP[[#This Row],[Dias_Abonados]]),1)</f>
        <v>0.875</v>
      </c>
      <c r="G35" s="169"/>
      <c r="I35" t="str">
        <f>IFERROR(VLOOKUP(Base_APP[[#This Row],[Promotor]],Promotores[Promotor],1,0),"")</f>
        <v>WILKENIA</v>
      </c>
    </row>
  </sheetData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B366-55F3-474A-94AF-4A7245E74107}">
  <dimension ref="A1:Y176"/>
  <sheetViews>
    <sheetView showGridLines="0" workbookViewId="0">
      <selection activeCell="C52" sqref="C52"/>
    </sheetView>
  </sheetViews>
  <sheetFormatPr defaultRowHeight="14.4" x14ac:dyDescent="0.3"/>
  <cols>
    <col min="1" max="1" width="12.33203125" bestFit="1" customWidth="1"/>
    <col min="2" max="2" width="9.44140625" bestFit="1" customWidth="1"/>
    <col min="3" max="4" width="24.44140625" bestFit="1" customWidth="1"/>
    <col min="5" max="5" width="16.6640625" bestFit="1" customWidth="1"/>
    <col min="6" max="6" width="14.6640625" bestFit="1" customWidth="1"/>
    <col min="7" max="7" width="9.44140625" bestFit="1" customWidth="1"/>
    <col min="8" max="8" width="17.109375" bestFit="1" customWidth="1"/>
    <col min="10" max="10" width="13.109375" bestFit="1" customWidth="1"/>
    <col min="11" max="12" width="20.44140625" bestFit="1" customWidth="1"/>
    <col min="13" max="13" width="16.33203125" bestFit="1" customWidth="1"/>
    <col min="14" max="14" width="14.109375" bestFit="1" customWidth="1"/>
    <col min="15" max="15" width="9" bestFit="1" customWidth="1"/>
    <col min="16" max="16" width="16.5546875" bestFit="1" customWidth="1"/>
    <col min="17" max="17" width="14.33203125" bestFit="1" customWidth="1"/>
    <col min="18" max="18" width="7.6640625" bestFit="1" customWidth="1"/>
    <col min="19" max="19" width="12.109375" bestFit="1" customWidth="1"/>
    <col min="20" max="20" width="9.88671875" bestFit="1" customWidth="1"/>
    <col min="21" max="21" width="10.6640625" bestFit="1" customWidth="1"/>
  </cols>
  <sheetData>
    <row r="1" spans="1:25" x14ac:dyDescent="0.3">
      <c r="A1" s="64" t="s">
        <v>95</v>
      </c>
      <c r="B1" s="64" t="s">
        <v>96</v>
      </c>
      <c r="C1" s="64" t="s">
        <v>97</v>
      </c>
      <c r="D1" s="64" t="s">
        <v>98</v>
      </c>
      <c r="E1" s="64" t="s">
        <v>99</v>
      </c>
      <c r="F1" s="64" t="s">
        <v>100</v>
      </c>
      <c r="G1" s="64" t="s">
        <v>4</v>
      </c>
      <c r="H1" s="64" t="s">
        <v>25</v>
      </c>
      <c r="J1" s="64" t="s">
        <v>476</v>
      </c>
      <c r="K1" s="64" t="s">
        <v>97</v>
      </c>
      <c r="L1" s="64" t="s">
        <v>98</v>
      </c>
      <c r="M1" s="64" t="s">
        <v>504</v>
      </c>
      <c r="N1" s="64" t="s">
        <v>505</v>
      </c>
      <c r="O1" s="64" t="s">
        <v>4</v>
      </c>
      <c r="P1" s="64" t="s">
        <v>25</v>
      </c>
      <c r="Q1" s="64" t="s">
        <v>429</v>
      </c>
      <c r="R1" s="64" t="s">
        <v>297</v>
      </c>
      <c r="S1" s="64" t="s">
        <v>431</v>
      </c>
      <c r="T1" s="64" t="s">
        <v>477</v>
      </c>
      <c r="U1" s="170" t="s">
        <v>478</v>
      </c>
      <c r="V1" s="64" t="s">
        <v>502</v>
      </c>
      <c r="W1" s="64" t="s">
        <v>503</v>
      </c>
      <c r="X1" s="64" t="s">
        <v>506</v>
      </c>
      <c r="Y1" s="64" t="s">
        <v>507</v>
      </c>
    </row>
    <row r="2" spans="1:25" ht="15.6" x14ac:dyDescent="0.3">
      <c r="A2" s="65">
        <v>18047</v>
      </c>
      <c r="B2" s="65">
        <v>116</v>
      </c>
      <c r="C2" s="65" t="s">
        <v>305</v>
      </c>
      <c r="D2" s="65" t="s">
        <v>305</v>
      </c>
      <c r="E2" s="66" t="s">
        <v>386</v>
      </c>
      <c r="F2" s="66" t="s">
        <v>297</v>
      </c>
      <c r="G2" s="67" t="s">
        <v>382</v>
      </c>
      <c r="H2" s="67" t="s">
        <v>299</v>
      </c>
      <c r="J2">
        <v>1</v>
      </c>
      <c r="K2" t="s">
        <v>220</v>
      </c>
      <c r="L2" t="s">
        <v>221</v>
      </c>
      <c r="M2" t="s">
        <v>86</v>
      </c>
      <c r="N2" t="s">
        <v>86</v>
      </c>
      <c r="O2" t="s">
        <v>529</v>
      </c>
      <c r="P2" t="s">
        <v>223</v>
      </c>
      <c r="Q2" t="s">
        <v>307</v>
      </c>
      <c r="R2" t="s">
        <v>298</v>
      </c>
      <c r="S2" t="s">
        <v>479</v>
      </c>
      <c r="T2" t="s">
        <v>480</v>
      </c>
      <c r="U2" t="s">
        <v>486</v>
      </c>
      <c r="V2">
        <f>IFERROR(VLOOKUP(Rotas_Geral[[#This Row],[Nome Loja]],#REF!,3,0),0)</f>
        <v>0</v>
      </c>
      <c r="W2">
        <f>IFERROR(VLOOKUP(Rotas_Geral[[#This Row],[Nome Loja]],#REF!,4,0),0)</f>
        <v>0</v>
      </c>
      <c r="X2">
        <f>IFERROR(VLOOKUP(Rotas_Geral[[#This Row],[Nome Loja]],#REF!,3,0),0)</f>
        <v>0</v>
      </c>
      <c r="Y2">
        <f>IFERROR(VLOOKUP(Rotas_Geral[[#This Row],[Nome Loja]],#REF!,4,0),0)</f>
        <v>0</v>
      </c>
    </row>
    <row r="3" spans="1:25" ht="15.6" x14ac:dyDescent="0.3">
      <c r="A3" s="65">
        <v>11081</v>
      </c>
      <c r="B3" s="65">
        <v>87</v>
      </c>
      <c r="C3" s="65" t="s">
        <v>298</v>
      </c>
      <c r="D3" s="65" t="s">
        <v>298</v>
      </c>
      <c r="E3" s="66" t="s">
        <v>400</v>
      </c>
      <c r="F3" s="66" t="s">
        <v>297</v>
      </c>
      <c r="G3" s="67" t="s">
        <v>382</v>
      </c>
      <c r="H3" s="67" t="s">
        <v>362</v>
      </c>
      <c r="J3">
        <v>2</v>
      </c>
      <c r="K3" t="s">
        <v>224</v>
      </c>
      <c r="L3" t="s">
        <v>225</v>
      </c>
      <c r="M3" t="s">
        <v>83</v>
      </c>
      <c r="N3" t="s">
        <v>65</v>
      </c>
      <c r="O3" t="s">
        <v>529</v>
      </c>
      <c r="P3" t="s">
        <v>223</v>
      </c>
      <c r="Q3" t="s">
        <v>307</v>
      </c>
      <c r="R3" t="s">
        <v>298</v>
      </c>
      <c r="S3" t="s">
        <v>479</v>
      </c>
      <c r="T3" t="s">
        <v>480</v>
      </c>
      <c r="U3" t="s">
        <v>486</v>
      </c>
      <c r="V3">
        <f>IFERROR(VLOOKUP(Rotas_Geral[[#This Row],[Nome Loja]],#REF!,3,0),0)</f>
        <v>0</v>
      </c>
      <c r="W3">
        <f>IFERROR(VLOOKUP(Rotas_Geral[[#This Row],[Nome Loja]],#REF!,4,0),0)</f>
        <v>0</v>
      </c>
      <c r="X3">
        <f>IFERROR(VLOOKUP(Rotas_Geral[[#This Row],[Nome Loja]],#REF!,3,0),0)</f>
        <v>0</v>
      </c>
      <c r="Y3">
        <f>IFERROR(VLOOKUP(Rotas_Geral[[#This Row],[Nome Loja]],#REF!,4,0),0)</f>
        <v>0</v>
      </c>
    </row>
    <row r="4" spans="1:25" ht="15.6" x14ac:dyDescent="0.3">
      <c r="A4" s="65">
        <v>18002</v>
      </c>
      <c r="B4" s="65">
        <v>266</v>
      </c>
      <c r="C4" s="65" t="s">
        <v>369</v>
      </c>
      <c r="D4" s="65" t="s">
        <v>370</v>
      </c>
      <c r="E4" s="66" t="s">
        <v>359</v>
      </c>
      <c r="F4" s="66" t="s">
        <v>225</v>
      </c>
      <c r="G4" s="67" t="s">
        <v>382</v>
      </c>
      <c r="H4" s="67" t="s">
        <v>104</v>
      </c>
      <c r="J4">
        <v>3</v>
      </c>
      <c r="K4" t="s">
        <v>114</v>
      </c>
      <c r="L4" t="s">
        <v>115</v>
      </c>
      <c r="M4" t="s">
        <v>66</v>
      </c>
      <c r="N4" t="s">
        <v>66</v>
      </c>
      <c r="O4" t="s">
        <v>529</v>
      </c>
      <c r="P4" t="s">
        <v>472</v>
      </c>
      <c r="Q4" t="s">
        <v>307</v>
      </c>
      <c r="R4" t="s">
        <v>305</v>
      </c>
      <c r="S4" t="s">
        <v>479</v>
      </c>
      <c r="T4" t="s">
        <v>480</v>
      </c>
      <c r="U4" t="s">
        <v>486</v>
      </c>
      <c r="V4">
        <f>IFERROR(VLOOKUP(Rotas_Geral[[#This Row],[Nome Loja]],#REF!,3,0),0)</f>
        <v>0</v>
      </c>
      <c r="W4">
        <f>IFERROR(VLOOKUP(Rotas_Geral[[#This Row],[Nome Loja]],#REF!,4,0),0)</f>
        <v>0</v>
      </c>
      <c r="X4">
        <f>IFERROR(VLOOKUP(Rotas_Geral[[#This Row],[Nome Loja]],#REF!,3,0),0)</f>
        <v>0</v>
      </c>
      <c r="Y4">
        <f>IFERROR(VLOOKUP(Rotas_Geral[[#This Row],[Nome Loja]],#REF!,4,0),0)</f>
        <v>0</v>
      </c>
    </row>
    <row r="5" spans="1:25" ht="15.6" x14ac:dyDescent="0.3">
      <c r="A5" s="65">
        <v>19826</v>
      </c>
      <c r="B5" s="65">
        <v>264</v>
      </c>
      <c r="C5" s="65" t="s">
        <v>303</v>
      </c>
      <c r="D5" s="65" t="s">
        <v>304</v>
      </c>
      <c r="E5" s="66" t="s">
        <v>90</v>
      </c>
      <c r="F5" s="66" t="s">
        <v>225</v>
      </c>
      <c r="G5" s="67" t="s">
        <v>382</v>
      </c>
      <c r="H5" s="67" t="s">
        <v>361</v>
      </c>
      <c r="J5">
        <v>4</v>
      </c>
      <c r="K5" t="s">
        <v>226</v>
      </c>
      <c r="L5" t="s">
        <v>227</v>
      </c>
      <c r="M5" t="s">
        <v>435</v>
      </c>
      <c r="N5" t="s">
        <v>65</v>
      </c>
      <c r="O5" t="s">
        <v>529</v>
      </c>
      <c r="P5" t="s">
        <v>223</v>
      </c>
      <c r="Q5" t="s">
        <v>307</v>
      </c>
      <c r="R5" t="s">
        <v>298</v>
      </c>
      <c r="S5" t="s">
        <v>479</v>
      </c>
      <c r="T5" t="s">
        <v>480</v>
      </c>
      <c r="U5" t="s">
        <v>492</v>
      </c>
      <c r="V5">
        <f>IFERROR(VLOOKUP(Rotas_Geral[[#This Row],[Nome Loja]],#REF!,3,0),0)</f>
        <v>0</v>
      </c>
      <c r="W5">
        <f>IFERROR(VLOOKUP(Rotas_Geral[[#This Row],[Nome Loja]],#REF!,4,0),0)</f>
        <v>0</v>
      </c>
      <c r="X5">
        <f>IFERROR(VLOOKUP(Rotas_Geral[[#This Row],[Nome Loja]],#REF!,3,0),0)</f>
        <v>0</v>
      </c>
      <c r="Y5">
        <f>IFERROR(VLOOKUP(Rotas_Geral[[#This Row],[Nome Loja]],#REF!,4,0),0)</f>
        <v>0</v>
      </c>
    </row>
    <row r="6" spans="1:25" ht="15.6" x14ac:dyDescent="0.3">
      <c r="A6" s="65">
        <v>19825</v>
      </c>
      <c r="B6" s="65">
        <v>461</v>
      </c>
      <c r="C6" s="65" t="s">
        <v>407</v>
      </c>
      <c r="D6" s="65" t="s">
        <v>407</v>
      </c>
      <c r="E6" s="66" t="s">
        <v>90</v>
      </c>
      <c r="F6" s="66" t="s">
        <v>116</v>
      </c>
      <c r="G6" s="67" t="s">
        <v>382</v>
      </c>
      <c r="H6" s="67" t="s">
        <v>361</v>
      </c>
      <c r="J6">
        <v>5</v>
      </c>
      <c r="K6" t="s">
        <v>165</v>
      </c>
      <c r="L6" t="s">
        <v>166</v>
      </c>
      <c r="M6" t="s">
        <v>423</v>
      </c>
      <c r="N6" t="s">
        <v>299</v>
      </c>
      <c r="O6" t="s">
        <v>529</v>
      </c>
      <c r="P6" t="s">
        <v>109</v>
      </c>
      <c r="Q6" t="s">
        <v>307</v>
      </c>
      <c r="R6" t="s">
        <v>305</v>
      </c>
      <c r="S6" t="s">
        <v>479</v>
      </c>
      <c r="T6" t="s">
        <v>480</v>
      </c>
      <c r="U6" t="s">
        <v>486</v>
      </c>
      <c r="V6">
        <f>IFERROR(VLOOKUP(Rotas_Geral[[#This Row],[Nome Loja]],#REF!,3,0),0)</f>
        <v>0</v>
      </c>
      <c r="W6">
        <f>IFERROR(VLOOKUP(Rotas_Geral[[#This Row],[Nome Loja]],#REF!,4,0),0)</f>
        <v>0</v>
      </c>
      <c r="X6">
        <f>IFERROR(VLOOKUP(Rotas_Geral[[#This Row],[Nome Loja]],#REF!,3,0),0)</f>
        <v>0</v>
      </c>
      <c r="Y6">
        <f>IFERROR(VLOOKUP(Rotas_Geral[[#This Row],[Nome Loja]],#REF!,4,0),0)</f>
        <v>0</v>
      </c>
    </row>
    <row r="7" spans="1:25" ht="15.6" x14ac:dyDescent="0.3">
      <c r="A7" s="65">
        <v>1283</v>
      </c>
      <c r="B7" s="65">
        <v>459</v>
      </c>
      <c r="C7" s="65" t="s">
        <v>406</v>
      </c>
      <c r="D7" s="65" t="s">
        <v>406</v>
      </c>
      <c r="E7" s="66" t="s">
        <v>90</v>
      </c>
      <c r="F7" s="66" t="s">
        <v>116</v>
      </c>
      <c r="G7" s="67" t="s">
        <v>382</v>
      </c>
      <c r="H7" s="67" t="s">
        <v>223</v>
      </c>
      <c r="J7">
        <v>7</v>
      </c>
      <c r="K7" t="s">
        <v>101</v>
      </c>
      <c r="L7" t="s">
        <v>102</v>
      </c>
      <c r="M7" t="s">
        <v>71</v>
      </c>
      <c r="N7" t="s">
        <v>76</v>
      </c>
      <c r="O7" t="s">
        <v>529</v>
      </c>
      <c r="P7" t="s">
        <v>109</v>
      </c>
      <c r="Q7" t="s">
        <v>307</v>
      </c>
      <c r="R7" t="s">
        <v>305</v>
      </c>
      <c r="S7" t="s">
        <v>479</v>
      </c>
      <c r="T7" t="s">
        <v>480</v>
      </c>
      <c r="U7" t="s">
        <v>486</v>
      </c>
      <c r="V7">
        <f>IFERROR(VLOOKUP(Rotas_Geral[[#This Row],[Nome Loja]],#REF!,3,0),0)</f>
        <v>0</v>
      </c>
      <c r="W7">
        <f>IFERROR(VLOOKUP(Rotas_Geral[[#This Row],[Nome Loja]],#REF!,4,0),0)</f>
        <v>0</v>
      </c>
      <c r="X7">
        <f>IFERROR(VLOOKUP(Rotas_Geral[[#This Row],[Nome Loja]],#REF!,3,0),0)</f>
        <v>0</v>
      </c>
      <c r="Y7">
        <f>IFERROR(VLOOKUP(Rotas_Geral[[#This Row],[Nome Loja]],#REF!,4,0),0)</f>
        <v>0</v>
      </c>
    </row>
    <row r="8" spans="1:25" ht="15.6" x14ac:dyDescent="0.3">
      <c r="A8" s="65">
        <v>14254</v>
      </c>
      <c r="B8" s="65">
        <v>427</v>
      </c>
      <c r="C8" s="65" t="s">
        <v>145</v>
      </c>
      <c r="D8" s="65" t="s">
        <v>146</v>
      </c>
      <c r="E8" s="66" t="s">
        <v>90</v>
      </c>
      <c r="F8" s="66" t="s">
        <v>116</v>
      </c>
      <c r="G8" s="67" t="s">
        <v>382</v>
      </c>
      <c r="H8" s="67" t="s">
        <v>104</v>
      </c>
      <c r="J8">
        <v>8</v>
      </c>
      <c r="K8" t="s">
        <v>167</v>
      </c>
      <c r="L8" t="s">
        <v>168</v>
      </c>
      <c r="M8" t="s">
        <v>423</v>
      </c>
      <c r="N8" t="s">
        <v>334</v>
      </c>
      <c r="O8" t="s">
        <v>529</v>
      </c>
      <c r="P8" t="s">
        <v>109</v>
      </c>
      <c r="Q8" t="s">
        <v>307</v>
      </c>
      <c r="R8" t="s">
        <v>305</v>
      </c>
      <c r="S8" t="s">
        <v>479</v>
      </c>
      <c r="T8" t="s">
        <v>480</v>
      </c>
      <c r="U8" t="s">
        <v>486</v>
      </c>
      <c r="V8">
        <f>IFERROR(VLOOKUP(Rotas_Geral[[#This Row],[Nome Loja]],#REF!,3,0),0)</f>
        <v>0</v>
      </c>
      <c r="W8">
        <f>IFERROR(VLOOKUP(Rotas_Geral[[#This Row],[Nome Loja]],#REF!,4,0),0)</f>
        <v>0</v>
      </c>
      <c r="X8">
        <f>IFERROR(VLOOKUP(Rotas_Geral[[#This Row],[Nome Loja]],#REF!,3,0),0)</f>
        <v>0</v>
      </c>
      <c r="Y8">
        <f>IFERROR(VLOOKUP(Rotas_Geral[[#This Row],[Nome Loja]],#REF!,4,0),0)</f>
        <v>0</v>
      </c>
    </row>
    <row r="9" spans="1:25" ht="15.6" x14ac:dyDescent="0.3">
      <c r="A9" s="65">
        <v>19408</v>
      </c>
      <c r="B9" s="65">
        <v>434</v>
      </c>
      <c r="C9" s="65" t="s">
        <v>155</v>
      </c>
      <c r="D9" s="65" t="s">
        <v>155</v>
      </c>
      <c r="E9" s="66" t="s">
        <v>64</v>
      </c>
      <c r="F9" s="66" t="s">
        <v>116</v>
      </c>
      <c r="G9" s="67" t="s">
        <v>382</v>
      </c>
      <c r="H9" s="67" t="s">
        <v>223</v>
      </c>
      <c r="J9">
        <v>11</v>
      </c>
      <c r="K9" t="s">
        <v>169</v>
      </c>
      <c r="L9" t="s">
        <v>170</v>
      </c>
      <c r="M9" t="s">
        <v>60</v>
      </c>
      <c r="N9" t="s">
        <v>426</v>
      </c>
      <c r="O9" t="s">
        <v>529</v>
      </c>
      <c r="P9" t="s">
        <v>109</v>
      </c>
      <c r="Q9" t="s">
        <v>307</v>
      </c>
      <c r="R9" t="s">
        <v>305</v>
      </c>
      <c r="S9" t="s">
        <v>479</v>
      </c>
      <c r="T9" t="s">
        <v>480</v>
      </c>
      <c r="U9" t="s">
        <v>486</v>
      </c>
      <c r="V9">
        <f>IFERROR(VLOOKUP(Rotas_Geral[[#This Row],[Nome Loja]],#REF!,3,0),0)</f>
        <v>0</v>
      </c>
      <c r="W9">
        <f>IFERROR(VLOOKUP(Rotas_Geral[[#This Row],[Nome Loja]],#REF!,4,0),0)</f>
        <v>0</v>
      </c>
      <c r="X9">
        <f>IFERROR(VLOOKUP(Rotas_Geral[[#This Row],[Nome Loja]],#REF!,3,0),0)</f>
        <v>0</v>
      </c>
      <c r="Y9">
        <f>IFERROR(VLOOKUP(Rotas_Geral[[#This Row],[Nome Loja]],#REF!,4,0),0)</f>
        <v>0</v>
      </c>
    </row>
    <row r="10" spans="1:25" ht="15.6" x14ac:dyDescent="0.3">
      <c r="A10" s="65">
        <v>19194</v>
      </c>
      <c r="B10" s="65">
        <v>435</v>
      </c>
      <c r="C10" s="65" t="s">
        <v>156</v>
      </c>
      <c r="D10" s="65" t="s">
        <v>157</v>
      </c>
      <c r="E10" s="66" t="s">
        <v>90</v>
      </c>
      <c r="F10" s="66" t="s">
        <v>116</v>
      </c>
      <c r="G10" s="67" t="s">
        <v>382</v>
      </c>
      <c r="H10" s="67" t="s">
        <v>223</v>
      </c>
      <c r="J10">
        <v>12</v>
      </c>
      <c r="K10" t="s">
        <v>171</v>
      </c>
      <c r="L10" t="s">
        <v>172</v>
      </c>
      <c r="M10" t="s">
        <v>60</v>
      </c>
      <c r="N10" t="s">
        <v>299</v>
      </c>
      <c r="O10" t="s">
        <v>529</v>
      </c>
      <c r="P10" t="s">
        <v>109</v>
      </c>
      <c r="Q10" t="s">
        <v>307</v>
      </c>
      <c r="R10" t="s">
        <v>305</v>
      </c>
      <c r="S10" t="s">
        <v>479</v>
      </c>
      <c r="T10" t="s">
        <v>480</v>
      </c>
      <c r="U10" t="s">
        <v>486</v>
      </c>
      <c r="V10">
        <f>IFERROR(VLOOKUP(Rotas_Geral[[#This Row],[Nome Loja]],#REF!,3,0),0)</f>
        <v>0</v>
      </c>
      <c r="W10">
        <f>IFERROR(VLOOKUP(Rotas_Geral[[#This Row],[Nome Loja]],#REF!,4,0),0)</f>
        <v>0</v>
      </c>
      <c r="X10">
        <f>IFERROR(VLOOKUP(Rotas_Geral[[#This Row],[Nome Loja]],#REF!,3,0),0)</f>
        <v>0</v>
      </c>
      <c r="Y10">
        <f>IFERROR(VLOOKUP(Rotas_Geral[[#This Row],[Nome Loja]],#REF!,4,0),0)</f>
        <v>0</v>
      </c>
    </row>
    <row r="11" spans="1:25" ht="15.6" x14ac:dyDescent="0.3">
      <c r="A11" s="65">
        <v>1286</v>
      </c>
      <c r="B11" s="65">
        <v>445</v>
      </c>
      <c r="C11" s="65" t="s">
        <v>160</v>
      </c>
      <c r="D11" s="65" t="s">
        <v>161</v>
      </c>
      <c r="E11" s="66" t="s">
        <v>354</v>
      </c>
      <c r="F11" s="66" t="s">
        <v>116</v>
      </c>
      <c r="G11" s="67" t="s">
        <v>382</v>
      </c>
      <c r="H11" s="67" t="s">
        <v>223</v>
      </c>
      <c r="J11">
        <v>15</v>
      </c>
      <c r="K11" t="s">
        <v>228</v>
      </c>
      <c r="L11" t="s">
        <v>229</v>
      </c>
      <c r="M11" t="s">
        <v>510</v>
      </c>
      <c r="N11" t="s">
        <v>510</v>
      </c>
      <c r="O11" t="s">
        <v>529</v>
      </c>
      <c r="P11" t="s">
        <v>223</v>
      </c>
      <c r="Q11" t="s">
        <v>307</v>
      </c>
      <c r="R11" t="s">
        <v>298</v>
      </c>
      <c r="S11" t="s">
        <v>479</v>
      </c>
      <c r="T11" t="s">
        <v>480</v>
      </c>
      <c r="U11" t="s">
        <v>486</v>
      </c>
      <c r="V11">
        <f>IFERROR(VLOOKUP(Rotas_Geral[[#This Row],[Nome Loja]],#REF!,3,0),0)</f>
        <v>0</v>
      </c>
      <c r="W11">
        <f>IFERROR(VLOOKUP(Rotas_Geral[[#This Row],[Nome Loja]],#REF!,4,0),0)</f>
        <v>0</v>
      </c>
      <c r="X11">
        <f>IFERROR(VLOOKUP(Rotas_Geral[[#This Row],[Nome Loja]],#REF!,3,0),0)</f>
        <v>0</v>
      </c>
      <c r="Y11">
        <f>IFERROR(VLOOKUP(Rotas_Geral[[#This Row],[Nome Loja]],#REF!,4,0),0)</f>
        <v>0</v>
      </c>
    </row>
    <row r="12" spans="1:25" ht="15.6" x14ac:dyDescent="0.3">
      <c r="A12" s="65">
        <v>15639</v>
      </c>
      <c r="B12" s="65">
        <v>439</v>
      </c>
      <c r="C12" s="65" t="s">
        <v>158</v>
      </c>
      <c r="D12" s="65" t="s">
        <v>159</v>
      </c>
      <c r="E12" s="66" t="s">
        <v>354</v>
      </c>
      <c r="F12" s="66" t="s">
        <v>116</v>
      </c>
      <c r="G12" s="67" t="s">
        <v>382</v>
      </c>
      <c r="H12" s="67" t="s">
        <v>223</v>
      </c>
      <c r="J12">
        <v>16</v>
      </c>
      <c r="K12" t="s">
        <v>105</v>
      </c>
      <c r="L12" t="s">
        <v>106</v>
      </c>
      <c r="M12" t="s">
        <v>356</v>
      </c>
      <c r="N12" t="s">
        <v>76</v>
      </c>
      <c r="O12" t="s">
        <v>529</v>
      </c>
      <c r="P12" t="s">
        <v>109</v>
      </c>
      <c r="Q12" t="s">
        <v>307</v>
      </c>
      <c r="R12" t="s">
        <v>305</v>
      </c>
      <c r="S12" t="s">
        <v>479</v>
      </c>
      <c r="T12" t="s">
        <v>480</v>
      </c>
      <c r="U12" t="s">
        <v>486</v>
      </c>
      <c r="V12">
        <f>IFERROR(VLOOKUP(Rotas_Geral[[#This Row],[Nome Loja]],#REF!,3,0),0)</f>
        <v>0</v>
      </c>
      <c r="W12">
        <f>IFERROR(VLOOKUP(Rotas_Geral[[#This Row],[Nome Loja]],#REF!,4,0),0)</f>
        <v>0</v>
      </c>
      <c r="X12">
        <f>IFERROR(VLOOKUP(Rotas_Geral[[#This Row],[Nome Loja]],#REF!,3,0),0)</f>
        <v>0</v>
      </c>
      <c r="Y12">
        <f>IFERROR(VLOOKUP(Rotas_Geral[[#This Row],[Nome Loja]],#REF!,4,0),0)</f>
        <v>0</v>
      </c>
    </row>
    <row r="13" spans="1:25" ht="15.6" x14ac:dyDescent="0.3">
      <c r="A13" s="65">
        <v>9456</v>
      </c>
      <c r="B13" s="65">
        <v>424</v>
      </c>
      <c r="C13" s="65" t="s">
        <v>143</v>
      </c>
      <c r="D13" s="65" t="s">
        <v>144</v>
      </c>
      <c r="E13" s="66" t="s">
        <v>90</v>
      </c>
      <c r="F13" s="66" t="s">
        <v>116</v>
      </c>
      <c r="G13" s="67" t="s">
        <v>382</v>
      </c>
      <c r="H13" s="67" t="s">
        <v>223</v>
      </c>
      <c r="J13">
        <v>17</v>
      </c>
      <c r="K13" t="s">
        <v>173</v>
      </c>
      <c r="L13" t="s">
        <v>174</v>
      </c>
      <c r="M13" t="s">
        <v>90</v>
      </c>
      <c r="N13" t="s">
        <v>426</v>
      </c>
      <c r="O13" t="s">
        <v>529</v>
      </c>
      <c r="P13" t="s">
        <v>109</v>
      </c>
      <c r="Q13" t="s">
        <v>307</v>
      </c>
      <c r="R13" t="s">
        <v>305</v>
      </c>
      <c r="S13" t="s">
        <v>493</v>
      </c>
      <c r="T13" t="s">
        <v>480</v>
      </c>
      <c r="U13" t="s">
        <v>492</v>
      </c>
      <c r="V13">
        <f>IFERROR(VLOOKUP(Rotas_Geral[[#This Row],[Nome Loja]],#REF!,3,0),0)</f>
        <v>0</v>
      </c>
      <c r="W13">
        <f>IFERROR(VLOOKUP(Rotas_Geral[[#This Row],[Nome Loja]],#REF!,4,0),0)</f>
        <v>0</v>
      </c>
      <c r="X13">
        <f>IFERROR(VLOOKUP(Rotas_Geral[[#This Row],[Nome Loja]],#REF!,3,0),0)</f>
        <v>0</v>
      </c>
      <c r="Y13">
        <f>IFERROR(VLOOKUP(Rotas_Geral[[#This Row],[Nome Loja]],#REF!,4,0),0)</f>
        <v>0</v>
      </c>
    </row>
    <row r="14" spans="1:25" ht="15.6" x14ac:dyDescent="0.3">
      <c r="A14" s="65">
        <v>14641</v>
      </c>
      <c r="B14" s="65">
        <v>429</v>
      </c>
      <c r="C14" s="65" t="s">
        <v>149</v>
      </c>
      <c r="D14" s="65" t="s">
        <v>150</v>
      </c>
      <c r="E14" s="66" t="s">
        <v>354</v>
      </c>
      <c r="F14" s="66" t="s">
        <v>116</v>
      </c>
      <c r="G14" s="67" t="s">
        <v>382</v>
      </c>
      <c r="H14" s="67" t="s">
        <v>104</v>
      </c>
      <c r="J14">
        <v>18</v>
      </c>
      <c r="K14" t="s">
        <v>175</v>
      </c>
      <c r="L14" t="s">
        <v>176</v>
      </c>
      <c r="M14" t="s">
        <v>62</v>
      </c>
      <c r="N14" t="s">
        <v>426</v>
      </c>
      <c r="O14" t="s">
        <v>529</v>
      </c>
      <c r="P14" t="s">
        <v>109</v>
      </c>
      <c r="Q14" t="s">
        <v>307</v>
      </c>
      <c r="R14" t="s">
        <v>305</v>
      </c>
      <c r="S14" t="s">
        <v>479</v>
      </c>
      <c r="T14" t="s">
        <v>480</v>
      </c>
      <c r="U14" t="s">
        <v>486</v>
      </c>
      <c r="V14">
        <f>IFERROR(VLOOKUP(Rotas_Geral[[#This Row],[Nome Loja]],#REF!,3,0),0)</f>
        <v>0</v>
      </c>
      <c r="W14">
        <f>IFERROR(VLOOKUP(Rotas_Geral[[#This Row],[Nome Loja]],#REF!,4,0),0)</f>
        <v>0</v>
      </c>
      <c r="X14">
        <f>IFERROR(VLOOKUP(Rotas_Geral[[#This Row],[Nome Loja]],#REF!,3,0),0)</f>
        <v>0</v>
      </c>
      <c r="Y14">
        <f>IFERROR(VLOOKUP(Rotas_Geral[[#This Row],[Nome Loja]],#REF!,4,0),0)</f>
        <v>0</v>
      </c>
    </row>
    <row r="15" spans="1:25" ht="15.6" x14ac:dyDescent="0.3">
      <c r="A15" s="65">
        <v>19626</v>
      </c>
      <c r="B15" s="65">
        <v>447</v>
      </c>
      <c r="C15" s="65" t="s">
        <v>162</v>
      </c>
      <c r="D15" s="65" t="s">
        <v>163</v>
      </c>
      <c r="E15" s="66" t="s">
        <v>64</v>
      </c>
      <c r="F15" s="66" t="s">
        <v>116</v>
      </c>
      <c r="G15" s="67" t="s">
        <v>382</v>
      </c>
      <c r="H15" s="67" t="s">
        <v>223</v>
      </c>
      <c r="J15">
        <v>19</v>
      </c>
      <c r="K15" t="s">
        <v>177</v>
      </c>
      <c r="L15" t="s">
        <v>178</v>
      </c>
      <c r="M15" t="s">
        <v>471</v>
      </c>
      <c r="N15" t="s">
        <v>334</v>
      </c>
      <c r="O15" t="s">
        <v>529</v>
      </c>
      <c r="P15" t="s">
        <v>109</v>
      </c>
      <c r="Q15" t="s">
        <v>307</v>
      </c>
      <c r="R15" t="s">
        <v>305</v>
      </c>
      <c r="S15" t="s">
        <v>479</v>
      </c>
      <c r="T15" t="s">
        <v>480</v>
      </c>
      <c r="U15" t="s">
        <v>486</v>
      </c>
      <c r="V15">
        <f>IFERROR(VLOOKUP(Rotas_Geral[[#This Row],[Nome Loja]],#REF!,3,0),0)</f>
        <v>0</v>
      </c>
      <c r="W15">
        <f>IFERROR(VLOOKUP(Rotas_Geral[[#This Row],[Nome Loja]],#REF!,4,0),0)</f>
        <v>0</v>
      </c>
      <c r="X15">
        <f>IFERROR(VLOOKUP(Rotas_Geral[[#This Row],[Nome Loja]],#REF!,3,0),0)</f>
        <v>0</v>
      </c>
      <c r="Y15">
        <f>IFERROR(VLOOKUP(Rotas_Geral[[#This Row],[Nome Loja]],#REF!,4,0),0)</f>
        <v>0</v>
      </c>
    </row>
    <row r="16" spans="1:25" ht="15.6" x14ac:dyDescent="0.3">
      <c r="A16" s="65">
        <v>14717</v>
      </c>
      <c r="B16" s="65">
        <v>451</v>
      </c>
      <c r="C16" s="65" t="s">
        <v>292</v>
      </c>
      <c r="D16" s="65" t="s">
        <v>292</v>
      </c>
      <c r="E16" s="66" t="s">
        <v>354</v>
      </c>
      <c r="F16" s="66" t="s">
        <v>116</v>
      </c>
      <c r="G16" s="67" t="s">
        <v>382</v>
      </c>
      <c r="H16" s="67" t="s">
        <v>104</v>
      </c>
      <c r="J16">
        <v>20</v>
      </c>
      <c r="K16" t="s">
        <v>107</v>
      </c>
      <c r="L16" t="s">
        <v>108</v>
      </c>
      <c r="M16" t="s">
        <v>90</v>
      </c>
      <c r="N16" t="s">
        <v>334</v>
      </c>
      <c r="O16" t="s">
        <v>529</v>
      </c>
      <c r="P16" t="s">
        <v>109</v>
      </c>
      <c r="Q16" t="s">
        <v>307</v>
      </c>
      <c r="R16" t="s">
        <v>305</v>
      </c>
      <c r="S16" t="s">
        <v>493</v>
      </c>
      <c r="T16" t="s">
        <v>480</v>
      </c>
      <c r="U16" t="s">
        <v>492</v>
      </c>
      <c r="V16">
        <f>IFERROR(VLOOKUP(Rotas_Geral[[#This Row],[Nome Loja]],#REF!,3,0),0)</f>
        <v>0</v>
      </c>
      <c r="W16">
        <f>IFERROR(VLOOKUP(Rotas_Geral[[#This Row],[Nome Loja]],#REF!,4,0),0)</f>
        <v>0</v>
      </c>
      <c r="X16">
        <f>IFERROR(VLOOKUP(Rotas_Geral[[#This Row],[Nome Loja]],#REF!,3,0),0)</f>
        <v>0</v>
      </c>
      <c r="Y16">
        <f>IFERROR(VLOOKUP(Rotas_Geral[[#This Row],[Nome Loja]],#REF!,4,0),0)</f>
        <v>0</v>
      </c>
    </row>
    <row r="17" spans="1:25" ht="15.6" x14ac:dyDescent="0.3">
      <c r="A17" s="65">
        <v>13649</v>
      </c>
      <c r="B17" s="65">
        <v>433</v>
      </c>
      <c r="C17" s="65" t="s">
        <v>153</v>
      </c>
      <c r="D17" s="65" t="s">
        <v>154</v>
      </c>
      <c r="E17" s="66" t="s">
        <v>90</v>
      </c>
      <c r="F17" s="66" t="s">
        <v>116</v>
      </c>
      <c r="G17" s="67" t="s">
        <v>382</v>
      </c>
      <c r="H17" s="67" t="s">
        <v>223</v>
      </c>
      <c r="J17">
        <v>23</v>
      </c>
      <c r="K17" t="s">
        <v>179</v>
      </c>
      <c r="L17" t="s">
        <v>180</v>
      </c>
      <c r="M17" t="s">
        <v>471</v>
      </c>
      <c r="N17" t="s">
        <v>357</v>
      </c>
      <c r="O17" t="s">
        <v>529</v>
      </c>
      <c r="P17" t="s">
        <v>109</v>
      </c>
      <c r="Q17" t="s">
        <v>307</v>
      </c>
      <c r="R17" t="s">
        <v>305</v>
      </c>
      <c r="S17" t="s">
        <v>479</v>
      </c>
      <c r="T17" t="s">
        <v>480</v>
      </c>
      <c r="U17" t="s">
        <v>486</v>
      </c>
      <c r="V17">
        <f>IFERROR(VLOOKUP(Rotas_Geral[[#This Row],[Nome Loja]],#REF!,3,0),0)</f>
        <v>0</v>
      </c>
      <c r="W17">
        <f>IFERROR(VLOOKUP(Rotas_Geral[[#This Row],[Nome Loja]],#REF!,4,0),0)</f>
        <v>0</v>
      </c>
      <c r="X17">
        <f>IFERROR(VLOOKUP(Rotas_Geral[[#This Row],[Nome Loja]],#REF!,3,0),0)</f>
        <v>0</v>
      </c>
      <c r="Y17">
        <f>IFERROR(VLOOKUP(Rotas_Geral[[#This Row],[Nome Loja]],#REF!,4,0),0)</f>
        <v>0</v>
      </c>
    </row>
    <row r="18" spans="1:25" ht="15.6" x14ac:dyDescent="0.3">
      <c r="A18" s="65">
        <v>15919</v>
      </c>
      <c r="B18" s="65">
        <v>39</v>
      </c>
      <c r="C18" s="65" t="s">
        <v>121</v>
      </c>
      <c r="D18" s="65" t="s">
        <v>122</v>
      </c>
      <c r="E18" s="66" t="s">
        <v>123</v>
      </c>
      <c r="F18" s="66" t="s">
        <v>116</v>
      </c>
      <c r="G18" s="67" t="s">
        <v>382</v>
      </c>
      <c r="H18" s="67" t="s">
        <v>223</v>
      </c>
      <c r="J18">
        <v>24</v>
      </c>
      <c r="K18" t="s">
        <v>273</v>
      </c>
      <c r="L18" t="s">
        <v>273</v>
      </c>
      <c r="M18" t="s">
        <v>90</v>
      </c>
      <c r="N18" t="s">
        <v>516</v>
      </c>
      <c r="O18" t="s">
        <v>529</v>
      </c>
      <c r="P18" t="s">
        <v>223</v>
      </c>
      <c r="Q18" t="s">
        <v>307</v>
      </c>
      <c r="R18" t="s">
        <v>485</v>
      </c>
      <c r="S18" t="s">
        <v>493</v>
      </c>
      <c r="T18" t="s">
        <v>480</v>
      </c>
      <c r="U18" t="s">
        <v>486</v>
      </c>
      <c r="V18">
        <f>IFERROR(VLOOKUP(Rotas_Geral[[#This Row],[Nome Loja]],#REF!,3,0),0)</f>
        <v>0</v>
      </c>
      <c r="W18">
        <f>IFERROR(VLOOKUP(Rotas_Geral[[#This Row],[Nome Loja]],#REF!,4,0),0)</f>
        <v>0</v>
      </c>
      <c r="X18">
        <f>IFERROR(VLOOKUP(Rotas_Geral[[#This Row],[Nome Loja]],#REF!,3,0),0)</f>
        <v>0</v>
      </c>
      <c r="Y18">
        <f>IFERROR(VLOOKUP(Rotas_Geral[[#This Row],[Nome Loja]],#REF!,4,0),0)</f>
        <v>0</v>
      </c>
    </row>
    <row r="19" spans="1:25" ht="15.6" x14ac:dyDescent="0.3">
      <c r="A19" s="65">
        <v>14463</v>
      </c>
      <c r="B19" s="65">
        <v>99</v>
      </c>
      <c r="C19" s="65" t="s">
        <v>135</v>
      </c>
      <c r="D19" s="65" t="s">
        <v>136</v>
      </c>
      <c r="E19" s="66" t="s">
        <v>398</v>
      </c>
      <c r="F19" s="66" t="s">
        <v>116</v>
      </c>
      <c r="G19" s="67" t="s">
        <v>382</v>
      </c>
      <c r="H19" s="67" t="s">
        <v>104</v>
      </c>
      <c r="J19">
        <v>25</v>
      </c>
      <c r="K19" t="s">
        <v>274</v>
      </c>
      <c r="L19" t="s">
        <v>274</v>
      </c>
      <c r="M19" t="s">
        <v>90</v>
      </c>
      <c r="N19" t="s">
        <v>516</v>
      </c>
      <c r="O19" t="s">
        <v>529</v>
      </c>
      <c r="P19" t="s">
        <v>223</v>
      </c>
      <c r="Q19" t="s">
        <v>307</v>
      </c>
      <c r="R19" t="s">
        <v>485</v>
      </c>
      <c r="S19" t="s">
        <v>493</v>
      </c>
      <c r="T19" t="s">
        <v>480</v>
      </c>
      <c r="U19" t="s">
        <v>486</v>
      </c>
      <c r="V19">
        <f>IFERROR(VLOOKUP(Rotas_Geral[[#This Row],[Nome Loja]],#REF!,3,0),0)</f>
        <v>0</v>
      </c>
      <c r="W19">
        <f>IFERROR(VLOOKUP(Rotas_Geral[[#This Row],[Nome Loja]],#REF!,4,0),0)</f>
        <v>0</v>
      </c>
      <c r="X19">
        <f>IFERROR(VLOOKUP(Rotas_Geral[[#This Row],[Nome Loja]],#REF!,3,0),0)</f>
        <v>0</v>
      </c>
      <c r="Y19">
        <f>IFERROR(VLOOKUP(Rotas_Geral[[#This Row],[Nome Loja]],#REF!,4,0),0)</f>
        <v>0</v>
      </c>
    </row>
    <row r="20" spans="1:25" ht="15.6" x14ac:dyDescent="0.3">
      <c r="A20" s="65">
        <v>14904</v>
      </c>
      <c r="B20" s="65">
        <v>436</v>
      </c>
      <c r="C20" s="65" t="s">
        <v>271</v>
      </c>
      <c r="D20" s="65" t="s">
        <v>272</v>
      </c>
      <c r="E20" s="66" t="s">
        <v>66</v>
      </c>
      <c r="F20" s="66" t="s">
        <v>116</v>
      </c>
      <c r="G20" s="67" t="s">
        <v>382</v>
      </c>
      <c r="H20" s="67" t="s">
        <v>223</v>
      </c>
      <c r="J20">
        <v>26</v>
      </c>
      <c r="K20" t="s">
        <v>275</v>
      </c>
      <c r="L20" t="s">
        <v>275</v>
      </c>
      <c r="M20" t="s">
        <v>90</v>
      </c>
      <c r="N20" t="s">
        <v>516</v>
      </c>
      <c r="O20" t="s">
        <v>529</v>
      </c>
      <c r="P20" t="s">
        <v>223</v>
      </c>
      <c r="Q20" t="s">
        <v>307</v>
      </c>
      <c r="R20" t="s">
        <v>485</v>
      </c>
      <c r="S20" t="s">
        <v>493</v>
      </c>
      <c r="T20" t="s">
        <v>480</v>
      </c>
      <c r="U20" t="s">
        <v>486</v>
      </c>
      <c r="V20">
        <f>IFERROR(VLOOKUP(Rotas_Geral[[#This Row],[Nome Loja]],#REF!,3,0),0)</f>
        <v>0</v>
      </c>
      <c r="W20">
        <f>IFERROR(VLOOKUP(Rotas_Geral[[#This Row],[Nome Loja]],#REF!,4,0),0)</f>
        <v>0</v>
      </c>
      <c r="X20">
        <f>IFERROR(VLOOKUP(Rotas_Geral[[#This Row],[Nome Loja]],#REF!,3,0),0)</f>
        <v>0</v>
      </c>
      <c r="Y20">
        <f>IFERROR(VLOOKUP(Rotas_Geral[[#This Row],[Nome Loja]],#REF!,4,0),0)</f>
        <v>0</v>
      </c>
    </row>
    <row r="21" spans="1:25" ht="15.6" x14ac:dyDescent="0.3">
      <c r="A21" s="65">
        <v>17782</v>
      </c>
      <c r="B21" s="65">
        <v>40</v>
      </c>
      <c r="C21" s="65" t="s">
        <v>288</v>
      </c>
      <c r="D21" s="65" t="s">
        <v>288</v>
      </c>
      <c r="E21" s="66" t="s">
        <v>128</v>
      </c>
      <c r="F21" s="66" t="s">
        <v>116</v>
      </c>
      <c r="G21" s="67" t="s">
        <v>382</v>
      </c>
      <c r="H21" s="67" t="s">
        <v>104</v>
      </c>
      <c r="J21">
        <v>27</v>
      </c>
      <c r="K21" t="s">
        <v>181</v>
      </c>
      <c r="L21" t="s">
        <v>182</v>
      </c>
      <c r="M21" t="s">
        <v>423</v>
      </c>
      <c r="N21" t="s">
        <v>299</v>
      </c>
      <c r="O21" t="s">
        <v>529</v>
      </c>
      <c r="P21" t="s">
        <v>109</v>
      </c>
      <c r="Q21" t="s">
        <v>307</v>
      </c>
      <c r="R21" t="s">
        <v>305</v>
      </c>
      <c r="S21" t="s">
        <v>479</v>
      </c>
      <c r="T21" t="s">
        <v>480</v>
      </c>
      <c r="U21" t="s">
        <v>486</v>
      </c>
      <c r="V21">
        <f>IFERROR(VLOOKUP(Rotas_Geral[[#This Row],[Nome Loja]],#REF!,3,0),0)</f>
        <v>0</v>
      </c>
      <c r="W21">
        <f>IFERROR(VLOOKUP(Rotas_Geral[[#This Row],[Nome Loja]],#REF!,4,0),0)</f>
        <v>0</v>
      </c>
      <c r="X21">
        <f>IFERROR(VLOOKUP(Rotas_Geral[[#This Row],[Nome Loja]],#REF!,3,0),0)</f>
        <v>0</v>
      </c>
      <c r="Y21">
        <f>IFERROR(VLOOKUP(Rotas_Geral[[#This Row],[Nome Loja]],#REF!,4,0),0)</f>
        <v>0</v>
      </c>
    </row>
    <row r="22" spans="1:25" ht="15.6" x14ac:dyDescent="0.3">
      <c r="A22" s="65">
        <v>17576</v>
      </c>
      <c r="B22" s="65">
        <v>207</v>
      </c>
      <c r="C22" s="65" t="s">
        <v>300</v>
      </c>
      <c r="D22" s="65" t="s">
        <v>300</v>
      </c>
      <c r="E22" s="66" t="s">
        <v>66</v>
      </c>
      <c r="F22" s="66" t="s">
        <v>116</v>
      </c>
      <c r="G22" s="67" t="s">
        <v>382</v>
      </c>
      <c r="H22" s="67" t="s">
        <v>104</v>
      </c>
      <c r="J22">
        <v>28</v>
      </c>
      <c r="K22" t="s">
        <v>276</v>
      </c>
      <c r="L22" t="s">
        <v>276</v>
      </c>
      <c r="M22" t="s">
        <v>90</v>
      </c>
      <c r="N22" t="s">
        <v>517</v>
      </c>
      <c r="O22" t="s">
        <v>529</v>
      </c>
      <c r="P22" t="s">
        <v>223</v>
      </c>
      <c r="Q22" t="s">
        <v>307</v>
      </c>
      <c r="R22" t="s">
        <v>485</v>
      </c>
      <c r="S22" t="s">
        <v>493</v>
      </c>
      <c r="T22" t="s">
        <v>480</v>
      </c>
      <c r="U22" t="s">
        <v>486</v>
      </c>
      <c r="V22">
        <f>IFERROR(VLOOKUP(Rotas_Geral[[#This Row],[Nome Loja]],#REF!,3,0),0)</f>
        <v>0</v>
      </c>
      <c r="W22">
        <f>IFERROR(VLOOKUP(Rotas_Geral[[#This Row],[Nome Loja]],#REF!,4,0),0)</f>
        <v>0</v>
      </c>
      <c r="X22">
        <f>IFERROR(VLOOKUP(Rotas_Geral[[#This Row],[Nome Loja]],#REF!,3,0),0)</f>
        <v>0</v>
      </c>
      <c r="Y22">
        <f>IFERROR(VLOOKUP(Rotas_Geral[[#This Row],[Nome Loja]],#REF!,4,0),0)</f>
        <v>0</v>
      </c>
    </row>
    <row r="23" spans="1:25" ht="15.6" x14ac:dyDescent="0.3">
      <c r="A23" s="65">
        <v>17786</v>
      </c>
      <c r="B23" s="65">
        <v>431</v>
      </c>
      <c r="C23" s="65" t="s">
        <v>151</v>
      </c>
      <c r="D23" s="65" t="s">
        <v>152</v>
      </c>
      <c r="E23" s="66" t="s">
        <v>90</v>
      </c>
      <c r="F23" s="66" t="s">
        <v>116</v>
      </c>
      <c r="G23" s="67" t="s">
        <v>382</v>
      </c>
      <c r="H23" s="67" t="s">
        <v>104</v>
      </c>
      <c r="J23">
        <v>29</v>
      </c>
      <c r="K23" t="s">
        <v>183</v>
      </c>
      <c r="L23" t="s">
        <v>184</v>
      </c>
      <c r="M23" t="s">
        <v>90</v>
      </c>
      <c r="N23" t="s">
        <v>515</v>
      </c>
      <c r="O23" t="s">
        <v>529</v>
      </c>
      <c r="P23" t="s">
        <v>109</v>
      </c>
      <c r="Q23" t="s">
        <v>307</v>
      </c>
      <c r="R23" t="s">
        <v>305</v>
      </c>
      <c r="S23" t="s">
        <v>493</v>
      </c>
      <c r="T23" t="s">
        <v>480</v>
      </c>
      <c r="U23" t="s">
        <v>492</v>
      </c>
      <c r="V23">
        <f>IFERROR(VLOOKUP(Rotas_Geral[[#This Row],[Nome Loja]],#REF!,3,0),0)</f>
        <v>0</v>
      </c>
      <c r="W23">
        <f>IFERROR(VLOOKUP(Rotas_Geral[[#This Row],[Nome Loja]],#REF!,4,0),0)</f>
        <v>0</v>
      </c>
      <c r="X23">
        <f>IFERROR(VLOOKUP(Rotas_Geral[[#This Row],[Nome Loja]],#REF!,3,0),0)</f>
        <v>0</v>
      </c>
      <c r="Y23">
        <f>IFERROR(VLOOKUP(Rotas_Geral[[#This Row],[Nome Loja]],#REF!,4,0),0)</f>
        <v>0</v>
      </c>
    </row>
    <row r="24" spans="1:25" ht="15.6" x14ac:dyDescent="0.3">
      <c r="A24" s="65">
        <v>15415</v>
      </c>
      <c r="B24" s="65">
        <v>446</v>
      </c>
      <c r="C24" s="65" t="s">
        <v>296</v>
      </c>
      <c r="D24" s="65" t="s">
        <v>296</v>
      </c>
      <c r="E24" s="66" t="s">
        <v>90</v>
      </c>
      <c r="F24" s="66" t="s">
        <v>116</v>
      </c>
      <c r="G24" s="67" t="s">
        <v>382</v>
      </c>
      <c r="H24" s="67" t="s">
        <v>223</v>
      </c>
      <c r="J24">
        <v>30</v>
      </c>
      <c r="K24" t="s">
        <v>185</v>
      </c>
      <c r="L24" t="s">
        <v>186</v>
      </c>
      <c r="M24" t="s">
        <v>471</v>
      </c>
      <c r="N24" t="s">
        <v>357</v>
      </c>
      <c r="O24" t="s">
        <v>529</v>
      </c>
      <c r="P24" t="s">
        <v>109</v>
      </c>
      <c r="Q24" t="s">
        <v>307</v>
      </c>
      <c r="R24" t="s">
        <v>305</v>
      </c>
      <c r="S24" t="s">
        <v>479</v>
      </c>
      <c r="T24" t="s">
        <v>480</v>
      </c>
      <c r="U24" t="s">
        <v>486</v>
      </c>
      <c r="V24">
        <f>IFERROR(VLOOKUP(Rotas_Geral[[#This Row],[Nome Loja]],#REF!,3,0),0)</f>
        <v>0</v>
      </c>
      <c r="W24">
        <f>IFERROR(VLOOKUP(Rotas_Geral[[#This Row],[Nome Loja]],#REF!,4,0),0)</f>
        <v>0</v>
      </c>
      <c r="X24">
        <f>IFERROR(VLOOKUP(Rotas_Geral[[#This Row],[Nome Loja]],#REF!,3,0),0)</f>
        <v>0</v>
      </c>
      <c r="Y24">
        <f>IFERROR(VLOOKUP(Rotas_Geral[[#This Row],[Nome Loja]],#REF!,4,0),0)</f>
        <v>0</v>
      </c>
    </row>
    <row r="25" spans="1:25" ht="15.6" x14ac:dyDescent="0.3">
      <c r="A25" s="65" t="e">
        <v>#N/A</v>
      </c>
      <c r="B25" s="65">
        <v>452</v>
      </c>
      <c r="C25" s="65" t="s">
        <v>164</v>
      </c>
      <c r="D25" s="65" t="s">
        <v>164</v>
      </c>
      <c r="E25" s="66" t="s">
        <v>90</v>
      </c>
      <c r="F25" s="66" t="s">
        <v>116</v>
      </c>
      <c r="G25" s="67" t="s">
        <v>382</v>
      </c>
      <c r="H25" s="67" t="s">
        <v>104</v>
      </c>
      <c r="J25">
        <v>31</v>
      </c>
      <c r="K25" t="s">
        <v>187</v>
      </c>
      <c r="L25" t="s">
        <v>188</v>
      </c>
      <c r="M25" t="s">
        <v>60</v>
      </c>
      <c r="N25" t="s">
        <v>515</v>
      </c>
      <c r="O25" t="s">
        <v>529</v>
      </c>
      <c r="P25" t="s">
        <v>109</v>
      </c>
      <c r="Q25" t="s">
        <v>307</v>
      </c>
      <c r="R25" t="s">
        <v>305</v>
      </c>
      <c r="S25" t="s">
        <v>479</v>
      </c>
      <c r="T25" t="s">
        <v>480</v>
      </c>
      <c r="U25" t="s">
        <v>486</v>
      </c>
      <c r="V25">
        <f>IFERROR(VLOOKUP(Rotas_Geral[[#This Row],[Nome Loja]],#REF!,3,0),0)</f>
        <v>0</v>
      </c>
      <c r="W25">
        <f>IFERROR(VLOOKUP(Rotas_Geral[[#This Row],[Nome Loja]],#REF!,4,0),0)</f>
        <v>0</v>
      </c>
      <c r="X25">
        <f>IFERROR(VLOOKUP(Rotas_Geral[[#This Row],[Nome Loja]],#REF!,3,0),0)</f>
        <v>0</v>
      </c>
      <c r="Y25">
        <f>IFERROR(VLOOKUP(Rotas_Geral[[#This Row],[Nome Loja]],#REF!,4,0),0)</f>
        <v>0</v>
      </c>
    </row>
    <row r="26" spans="1:25" ht="15.6" x14ac:dyDescent="0.3">
      <c r="A26" s="65">
        <v>17518</v>
      </c>
      <c r="B26" s="65">
        <v>450</v>
      </c>
      <c r="C26" s="65" t="s">
        <v>295</v>
      </c>
      <c r="D26" s="65" t="s">
        <v>295</v>
      </c>
      <c r="E26" s="66" t="s">
        <v>90</v>
      </c>
      <c r="F26" s="66" t="s">
        <v>116</v>
      </c>
      <c r="G26" s="67" t="s">
        <v>382</v>
      </c>
      <c r="H26" s="67" t="s">
        <v>104</v>
      </c>
      <c r="J26">
        <v>32</v>
      </c>
      <c r="K26" t="s">
        <v>117</v>
      </c>
      <c r="L26" t="s">
        <v>118</v>
      </c>
      <c r="M26" t="s">
        <v>72</v>
      </c>
      <c r="N26" t="s">
        <v>72</v>
      </c>
      <c r="O26" t="s">
        <v>529</v>
      </c>
      <c r="P26" t="s">
        <v>472</v>
      </c>
      <c r="Q26" t="s">
        <v>307</v>
      </c>
      <c r="R26" t="s">
        <v>305</v>
      </c>
      <c r="S26" t="s">
        <v>479</v>
      </c>
      <c r="T26" t="s">
        <v>480</v>
      </c>
      <c r="U26" t="s">
        <v>492</v>
      </c>
      <c r="V26">
        <f>IFERROR(VLOOKUP(Rotas_Geral[[#This Row],[Nome Loja]],#REF!,3,0),0)</f>
        <v>0</v>
      </c>
      <c r="W26">
        <f>IFERROR(VLOOKUP(Rotas_Geral[[#This Row],[Nome Loja]],#REF!,4,0),0)</f>
        <v>0</v>
      </c>
      <c r="X26">
        <f>IFERROR(VLOOKUP(Rotas_Geral[[#This Row],[Nome Loja]],#REF!,3,0),0)</f>
        <v>0</v>
      </c>
      <c r="Y26">
        <f>IFERROR(VLOOKUP(Rotas_Geral[[#This Row],[Nome Loja]],#REF!,4,0),0)</f>
        <v>0</v>
      </c>
    </row>
    <row r="27" spans="1:25" ht="15.6" x14ac:dyDescent="0.3">
      <c r="A27" s="65">
        <v>19625</v>
      </c>
      <c r="B27" s="65">
        <v>47</v>
      </c>
      <c r="C27" s="65" t="s">
        <v>129</v>
      </c>
      <c r="D27" s="65" t="s">
        <v>130</v>
      </c>
      <c r="E27" s="66" t="s">
        <v>90</v>
      </c>
      <c r="F27" s="66" t="s">
        <v>116</v>
      </c>
      <c r="G27" s="67" t="s">
        <v>382</v>
      </c>
      <c r="H27" s="67" t="s">
        <v>223</v>
      </c>
      <c r="J27">
        <v>34</v>
      </c>
      <c r="K27" t="s">
        <v>110</v>
      </c>
      <c r="L27" t="s">
        <v>111</v>
      </c>
      <c r="M27" t="s">
        <v>84</v>
      </c>
      <c r="N27" t="s">
        <v>76</v>
      </c>
      <c r="O27" t="s">
        <v>529</v>
      </c>
      <c r="P27" t="s">
        <v>109</v>
      </c>
      <c r="Q27" t="s">
        <v>307</v>
      </c>
      <c r="R27" t="s">
        <v>305</v>
      </c>
      <c r="S27" t="s">
        <v>479</v>
      </c>
      <c r="T27" t="s">
        <v>480</v>
      </c>
      <c r="U27" t="s">
        <v>486</v>
      </c>
      <c r="V27">
        <f>IFERROR(VLOOKUP(Rotas_Geral[[#This Row],[Nome Loja]],#REF!,3,0),0)</f>
        <v>0</v>
      </c>
      <c r="W27">
        <f>IFERROR(VLOOKUP(Rotas_Geral[[#This Row],[Nome Loja]],#REF!,4,0),0)</f>
        <v>0</v>
      </c>
      <c r="X27">
        <f>IFERROR(VLOOKUP(Rotas_Geral[[#This Row],[Nome Loja]],#REF!,3,0),0)</f>
        <v>0</v>
      </c>
      <c r="Y27">
        <f>IFERROR(VLOOKUP(Rotas_Geral[[#This Row],[Nome Loja]],#REF!,4,0),0)</f>
        <v>0</v>
      </c>
    </row>
    <row r="28" spans="1:25" ht="15.6" x14ac:dyDescent="0.3">
      <c r="A28" s="65">
        <v>17580</v>
      </c>
      <c r="B28" s="65">
        <v>48</v>
      </c>
      <c r="C28" s="65" t="s">
        <v>131</v>
      </c>
      <c r="D28" s="65" t="s">
        <v>132</v>
      </c>
      <c r="E28" s="66" t="s">
        <v>90</v>
      </c>
      <c r="F28" s="66" t="s">
        <v>116</v>
      </c>
      <c r="G28" s="67" t="s">
        <v>382</v>
      </c>
      <c r="H28" s="67" t="s">
        <v>104</v>
      </c>
      <c r="J28">
        <v>35</v>
      </c>
      <c r="K28" t="s">
        <v>244</v>
      </c>
      <c r="L28" t="s">
        <v>245</v>
      </c>
      <c r="M28" t="s">
        <v>79</v>
      </c>
      <c r="N28" t="s">
        <v>79</v>
      </c>
      <c r="O28" t="s">
        <v>529</v>
      </c>
      <c r="P28" t="s">
        <v>223</v>
      </c>
      <c r="Q28" t="s">
        <v>307</v>
      </c>
      <c r="R28" t="s">
        <v>368</v>
      </c>
      <c r="S28" t="s">
        <v>479</v>
      </c>
      <c r="T28" t="s">
        <v>480</v>
      </c>
      <c r="U28" t="s">
        <v>486</v>
      </c>
      <c r="V28">
        <f>IFERROR(VLOOKUP(Rotas_Geral[[#This Row],[Nome Loja]],#REF!,3,0),0)</f>
        <v>0</v>
      </c>
      <c r="W28">
        <f>IFERROR(VLOOKUP(Rotas_Geral[[#This Row],[Nome Loja]],#REF!,4,0),0)</f>
        <v>0</v>
      </c>
      <c r="X28">
        <f>IFERROR(VLOOKUP(Rotas_Geral[[#This Row],[Nome Loja]],#REF!,3,0),0)</f>
        <v>0</v>
      </c>
      <c r="Y28">
        <f>IFERROR(VLOOKUP(Rotas_Geral[[#This Row],[Nome Loja]],#REF!,4,0),0)</f>
        <v>0</v>
      </c>
    </row>
    <row r="29" spans="1:25" ht="15.6" x14ac:dyDescent="0.3">
      <c r="A29" s="65">
        <v>19624</v>
      </c>
      <c r="B29" s="65">
        <v>91</v>
      </c>
      <c r="C29" s="65" t="s">
        <v>133</v>
      </c>
      <c r="D29" s="65" t="s">
        <v>134</v>
      </c>
      <c r="E29" s="66" t="s">
        <v>66</v>
      </c>
      <c r="F29" s="66" t="s">
        <v>116</v>
      </c>
      <c r="G29" s="67" t="s">
        <v>382</v>
      </c>
      <c r="H29" s="67" t="s">
        <v>223</v>
      </c>
      <c r="J29">
        <v>36</v>
      </c>
      <c r="K29" t="s">
        <v>247</v>
      </c>
      <c r="L29" t="s">
        <v>248</v>
      </c>
      <c r="M29" t="s">
        <v>85</v>
      </c>
      <c r="N29" t="s">
        <v>85</v>
      </c>
      <c r="O29" t="s">
        <v>529</v>
      </c>
      <c r="P29" t="s">
        <v>223</v>
      </c>
      <c r="Q29" t="s">
        <v>307</v>
      </c>
      <c r="R29" t="s">
        <v>368</v>
      </c>
      <c r="S29" t="s">
        <v>479</v>
      </c>
      <c r="T29" t="s">
        <v>480</v>
      </c>
      <c r="U29" t="s">
        <v>486</v>
      </c>
      <c r="V29">
        <f>IFERROR(VLOOKUP(Rotas_Geral[[#This Row],[Nome Loja]],#REF!,3,0),0)</f>
        <v>0</v>
      </c>
      <c r="W29">
        <f>IFERROR(VLOOKUP(Rotas_Geral[[#This Row],[Nome Loja]],#REF!,4,0),0)</f>
        <v>0</v>
      </c>
      <c r="X29">
        <f>IFERROR(VLOOKUP(Rotas_Geral[[#This Row],[Nome Loja]],#REF!,3,0),0)</f>
        <v>0</v>
      </c>
      <c r="Y29">
        <f>IFERROR(VLOOKUP(Rotas_Geral[[#This Row],[Nome Loja]],#REF!,4,0),0)</f>
        <v>0</v>
      </c>
    </row>
    <row r="30" spans="1:25" ht="15.6" x14ac:dyDescent="0.3">
      <c r="A30" s="65">
        <v>19590</v>
      </c>
      <c r="B30" s="65">
        <v>3</v>
      </c>
      <c r="C30" s="65" t="s">
        <v>114</v>
      </c>
      <c r="D30" s="65" t="s">
        <v>115</v>
      </c>
      <c r="E30" s="66" t="s">
        <v>66</v>
      </c>
      <c r="F30" s="66" t="s">
        <v>116</v>
      </c>
      <c r="G30" s="67" t="s">
        <v>382</v>
      </c>
      <c r="H30" s="67" t="s">
        <v>104</v>
      </c>
      <c r="J30">
        <v>37</v>
      </c>
      <c r="K30" t="s">
        <v>249</v>
      </c>
      <c r="L30" t="s">
        <v>250</v>
      </c>
      <c r="M30" t="s">
        <v>78</v>
      </c>
      <c r="N30" t="s">
        <v>78</v>
      </c>
      <c r="O30" t="s">
        <v>529</v>
      </c>
      <c r="P30" t="s">
        <v>223</v>
      </c>
      <c r="Q30" t="s">
        <v>307</v>
      </c>
      <c r="R30" t="s">
        <v>368</v>
      </c>
      <c r="S30" t="s">
        <v>479</v>
      </c>
      <c r="T30" t="s">
        <v>480</v>
      </c>
      <c r="U30" t="s">
        <v>492</v>
      </c>
      <c r="V30">
        <f>IFERROR(VLOOKUP(Rotas_Geral[[#This Row],[Nome Loja]],#REF!,3,0),0)</f>
        <v>0</v>
      </c>
      <c r="W30">
        <f>IFERROR(VLOOKUP(Rotas_Geral[[#This Row],[Nome Loja]],#REF!,4,0),0)</f>
        <v>0</v>
      </c>
      <c r="X30">
        <f>IFERROR(VLOOKUP(Rotas_Geral[[#This Row],[Nome Loja]],#REF!,3,0),0)</f>
        <v>0</v>
      </c>
      <c r="Y30">
        <f>IFERROR(VLOOKUP(Rotas_Geral[[#This Row],[Nome Loja]],#REF!,4,0),0)</f>
        <v>0</v>
      </c>
    </row>
    <row r="31" spans="1:25" ht="15.6" x14ac:dyDescent="0.3">
      <c r="A31" s="65">
        <v>19288</v>
      </c>
      <c r="B31" s="65">
        <v>42</v>
      </c>
      <c r="C31" s="65" t="s">
        <v>126</v>
      </c>
      <c r="D31" s="65" t="s">
        <v>127</v>
      </c>
      <c r="E31" s="66" t="s">
        <v>128</v>
      </c>
      <c r="F31" s="66" t="s">
        <v>116</v>
      </c>
      <c r="G31" s="67" t="s">
        <v>382</v>
      </c>
      <c r="H31" s="67" t="s">
        <v>223</v>
      </c>
      <c r="J31">
        <v>38</v>
      </c>
      <c r="K31" t="s">
        <v>251</v>
      </c>
      <c r="L31" t="s">
        <v>251</v>
      </c>
      <c r="M31" t="s">
        <v>90</v>
      </c>
      <c r="N31" t="s">
        <v>90</v>
      </c>
      <c r="O31" t="s">
        <v>529</v>
      </c>
      <c r="P31" t="s">
        <v>223</v>
      </c>
      <c r="Q31" t="s">
        <v>307</v>
      </c>
      <c r="R31" t="s">
        <v>485</v>
      </c>
      <c r="S31" t="s">
        <v>493</v>
      </c>
      <c r="T31" t="s">
        <v>480</v>
      </c>
      <c r="U31" t="s">
        <v>486</v>
      </c>
      <c r="V31">
        <f>IFERROR(VLOOKUP(Rotas_Geral[[#This Row],[Nome Loja]],#REF!,3,0),0)</f>
        <v>0</v>
      </c>
      <c r="W31">
        <f>IFERROR(VLOOKUP(Rotas_Geral[[#This Row],[Nome Loja]],#REF!,4,0),0)</f>
        <v>0</v>
      </c>
      <c r="X31">
        <f>IFERROR(VLOOKUP(Rotas_Geral[[#This Row],[Nome Loja]],#REF!,3,0),0)</f>
        <v>0</v>
      </c>
      <c r="Y31">
        <f>IFERROR(VLOOKUP(Rotas_Geral[[#This Row],[Nome Loja]],#REF!,4,0),0)</f>
        <v>0</v>
      </c>
    </row>
    <row r="32" spans="1:25" ht="15.6" x14ac:dyDescent="0.3">
      <c r="A32" s="65">
        <v>1281</v>
      </c>
      <c r="B32" s="65">
        <v>428</v>
      </c>
      <c r="C32" s="65" t="s">
        <v>147</v>
      </c>
      <c r="D32" s="65" t="s">
        <v>148</v>
      </c>
      <c r="E32" s="66" t="s">
        <v>90</v>
      </c>
      <c r="F32" s="66" t="s">
        <v>116</v>
      </c>
      <c r="G32" s="67" t="s">
        <v>382</v>
      </c>
      <c r="H32" s="67" t="s">
        <v>223</v>
      </c>
      <c r="J32">
        <v>39</v>
      </c>
      <c r="K32" t="s">
        <v>121</v>
      </c>
      <c r="L32" t="s">
        <v>122</v>
      </c>
      <c r="M32" t="s">
        <v>445</v>
      </c>
      <c r="N32" t="s">
        <v>445</v>
      </c>
      <c r="O32" t="s">
        <v>529</v>
      </c>
      <c r="P32" t="s">
        <v>472</v>
      </c>
      <c r="Q32" t="s">
        <v>307</v>
      </c>
      <c r="R32" t="s">
        <v>305</v>
      </c>
      <c r="S32" t="s">
        <v>479</v>
      </c>
      <c r="T32" t="s">
        <v>480</v>
      </c>
      <c r="U32" t="s">
        <v>492</v>
      </c>
      <c r="V32">
        <f>IFERROR(VLOOKUP(Rotas_Geral[[#This Row],[Nome Loja]],#REF!,3,0),0)</f>
        <v>0</v>
      </c>
      <c r="W32">
        <f>IFERROR(VLOOKUP(Rotas_Geral[[#This Row],[Nome Loja]],#REF!,4,0),0)</f>
        <v>0</v>
      </c>
      <c r="X32">
        <f>IFERROR(VLOOKUP(Rotas_Geral[[#This Row],[Nome Loja]],#REF!,3,0),0)</f>
        <v>0</v>
      </c>
      <c r="Y32">
        <f>IFERROR(VLOOKUP(Rotas_Geral[[#This Row],[Nome Loja]],#REF!,4,0),0)</f>
        <v>0</v>
      </c>
    </row>
    <row r="33" spans="1:25" ht="15.6" x14ac:dyDescent="0.3">
      <c r="A33" s="65">
        <v>1282</v>
      </c>
      <c r="B33" s="65">
        <v>458</v>
      </c>
      <c r="C33" s="65" t="s">
        <v>405</v>
      </c>
      <c r="D33" s="65" t="s">
        <v>405</v>
      </c>
      <c r="E33" s="66" t="s">
        <v>391</v>
      </c>
      <c r="F33" s="66" t="s">
        <v>391</v>
      </c>
      <c r="G33" s="67" t="s">
        <v>382</v>
      </c>
      <c r="H33" s="67" t="s">
        <v>223</v>
      </c>
      <c r="J33">
        <v>40</v>
      </c>
      <c r="K33" t="s">
        <v>288</v>
      </c>
      <c r="L33" t="s">
        <v>288</v>
      </c>
      <c r="M33" t="s">
        <v>90</v>
      </c>
      <c r="N33" t="s">
        <v>90</v>
      </c>
      <c r="O33" t="s">
        <v>529</v>
      </c>
      <c r="P33" t="s">
        <v>472</v>
      </c>
      <c r="Q33" t="s">
        <v>307</v>
      </c>
      <c r="R33" t="s">
        <v>298</v>
      </c>
      <c r="S33" t="s">
        <v>493</v>
      </c>
      <c r="T33" t="s">
        <v>480</v>
      </c>
      <c r="U33" t="s">
        <v>486</v>
      </c>
      <c r="V33">
        <f>IFERROR(VLOOKUP(Rotas_Geral[[#This Row],[Nome Loja]],#REF!,3,0),0)</f>
        <v>0</v>
      </c>
      <c r="W33">
        <f>IFERROR(VLOOKUP(Rotas_Geral[[#This Row],[Nome Loja]],#REF!,4,0),0)</f>
        <v>0</v>
      </c>
      <c r="X33">
        <f>IFERROR(VLOOKUP(Rotas_Geral[[#This Row],[Nome Loja]],#REF!,3,0),0)</f>
        <v>0</v>
      </c>
      <c r="Y33">
        <f>IFERROR(VLOOKUP(Rotas_Geral[[#This Row],[Nome Loja]],#REF!,4,0),0)</f>
        <v>0</v>
      </c>
    </row>
    <row r="34" spans="1:25" ht="15.6" x14ac:dyDescent="0.3">
      <c r="A34" s="65">
        <v>1284</v>
      </c>
      <c r="B34" s="65">
        <v>414</v>
      </c>
      <c r="C34" s="65" t="s">
        <v>238</v>
      </c>
      <c r="D34" s="65" t="s">
        <v>239</v>
      </c>
      <c r="E34" s="66" t="s">
        <v>90</v>
      </c>
      <c r="F34" s="66" t="s">
        <v>222</v>
      </c>
      <c r="G34" s="67" t="s">
        <v>382</v>
      </c>
      <c r="H34" s="67" t="s">
        <v>223</v>
      </c>
      <c r="J34">
        <v>41</v>
      </c>
      <c r="K34" t="s">
        <v>124</v>
      </c>
      <c r="L34" t="s">
        <v>125</v>
      </c>
      <c r="M34" t="s">
        <v>463</v>
      </c>
      <c r="N34" t="s">
        <v>474</v>
      </c>
      <c r="O34" t="s">
        <v>529</v>
      </c>
      <c r="P34" t="s">
        <v>472</v>
      </c>
      <c r="Q34" t="s">
        <v>307</v>
      </c>
      <c r="R34" t="s">
        <v>305</v>
      </c>
      <c r="S34" t="s">
        <v>479</v>
      </c>
      <c r="T34" t="s">
        <v>480</v>
      </c>
      <c r="U34" t="s">
        <v>492</v>
      </c>
      <c r="V34">
        <f>IFERROR(VLOOKUP(Rotas_Geral[[#This Row],[Nome Loja]],#REF!,3,0),0)</f>
        <v>0</v>
      </c>
      <c r="W34">
        <f>IFERROR(VLOOKUP(Rotas_Geral[[#This Row],[Nome Loja]],#REF!,4,0),0)</f>
        <v>0</v>
      </c>
      <c r="X34">
        <f>IFERROR(VLOOKUP(Rotas_Geral[[#This Row],[Nome Loja]],#REF!,3,0),0)</f>
        <v>0</v>
      </c>
      <c r="Y34">
        <f>IFERROR(VLOOKUP(Rotas_Geral[[#This Row],[Nome Loja]],#REF!,4,0),0)</f>
        <v>0</v>
      </c>
    </row>
    <row r="35" spans="1:25" ht="15.6" x14ac:dyDescent="0.3">
      <c r="A35" s="65">
        <v>3897</v>
      </c>
      <c r="B35" s="65">
        <v>44</v>
      </c>
      <c r="C35" s="65" t="s">
        <v>230</v>
      </c>
      <c r="D35" s="65" t="s">
        <v>230</v>
      </c>
      <c r="E35" s="66" t="s">
        <v>360</v>
      </c>
      <c r="F35" s="66" t="s">
        <v>222</v>
      </c>
      <c r="G35" s="67" t="s">
        <v>382</v>
      </c>
      <c r="H35" s="67" t="s">
        <v>223</v>
      </c>
      <c r="J35">
        <v>42</v>
      </c>
      <c r="K35" t="s">
        <v>126</v>
      </c>
      <c r="L35" t="s">
        <v>127</v>
      </c>
      <c r="M35" t="s">
        <v>90</v>
      </c>
      <c r="N35" t="s">
        <v>90</v>
      </c>
      <c r="O35" t="s">
        <v>529</v>
      </c>
      <c r="P35" t="s">
        <v>472</v>
      </c>
      <c r="Q35" t="s">
        <v>307</v>
      </c>
      <c r="R35" t="s">
        <v>298</v>
      </c>
      <c r="S35" t="s">
        <v>493</v>
      </c>
      <c r="T35" t="s">
        <v>480</v>
      </c>
      <c r="U35" t="s">
        <v>486</v>
      </c>
      <c r="V35">
        <f>IFERROR(VLOOKUP(Rotas_Geral[[#This Row],[Nome Loja]],#REF!,3,0),0)</f>
        <v>0</v>
      </c>
      <c r="W35">
        <f>IFERROR(VLOOKUP(Rotas_Geral[[#This Row],[Nome Loja]],#REF!,4,0),0)</f>
        <v>0</v>
      </c>
      <c r="X35">
        <f>IFERROR(VLOOKUP(Rotas_Geral[[#This Row],[Nome Loja]],#REF!,3,0),0)</f>
        <v>0</v>
      </c>
      <c r="Y35">
        <f>IFERROR(VLOOKUP(Rotas_Geral[[#This Row],[Nome Loja]],#REF!,4,0),0)</f>
        <v>0</v>
      </c>
    </row>
    <row r="36" spans="1:25" ht="15.6" x14ac:dyDescent="0.3">
      <c r="A36" s="65">
        <v>17050</v>
      </c>
      <c r="B36" s="65">
        <v>432</v>
      </c>
      <c r="C36" s="65" t="s">
        <v>240</v>
      </c>
      <c r="D36" s="65" t="s">
        <v>241</v>
      </c>
      <c r="E36" s="66" t="s">
        <v>90</v>
      </c>
      <c r="F36" s="66" t="s">
        <v>222</v>
      </c>
      <c r="G36" s="67" t="s">
        <v>382</v>
      </c>
      <c r="H36" s="67" t="s">
        <v>223</v>
      </c>
      <c r="J36">
        <v>44</v>
      </c>
      <c r="K36" t="s">
        <v>230</v>
      </c>
      <c r="L36" t="s">
        <v>230</v>
      </c>
      <c r="M36" t="s">
        <v>435</v>
      </c>
      <c r="N36" t="s">
        <v>65</v>
      </c>
      <c r="O36" t="s">
        <v>529</v>
      </c>
      <c r="P36" t="s">
        <v>223</v>
      </c>
      <c r="Q36" t="s">
        <v>307</v>
      </c>
      <c r="R36" t="s">
        <v>298</v>
      </c>
      <c r="S36" t="s">
        <v>479</v>
      </c>
      <c r="T36" t="s">
        <v>480</v>
      </c>
      <c r="U36" t="s">
        <v>492</v>
      </c>
      <c r="V36">
        <f>IFERROR(VLOOKUP(Rotas_Geral[[#This Row],[Nome Loja]],#REF!,3,0),0)</f>
        <v>0</v>
      </c>
      <c r="W36">
        <f>IFERROR(VLOOKUP(Rotas_Geral[[#This Row],[Nome Loja]],#REF!,4,0),0)</f>
        <v>0</v>
      </c>
      <c r="X36">
        <f>IFERROR(VLOOKUP(Rotas_Geral[[#This Row],[Nome Loja]],#REF!,3,0),0)</f>
        <v>0</v>
      </c>
      <c r="Y36">
        <f>IFERROR(VLOOKUP(Rotas_Geral[[#This Row],[Nome Loja]],#REF!,4,0),0)</f>
        <v>0</v>
      </c>
    </row>
    <row r="37" spans="1:25" ht="15.6" x14ac:dyDescent="0.3">
      <c r="A37" s="65">
        <v>17510</v>
      </c>
      <c r="B37" s="65">
        <v>438</v>
      </c>
      <c r="C37" s="65" t="s">
        <v>242</v>
      </c>
      <c r="D37" s="65" t="s">
        <v>243</v>
      </c>
      <c r="E37" s="66" t="s">
        <v>90</v>
      </c>
      <c r="F37" s="66" t="s">
        <v>222</v>
      </c>
      <c r="G37" s="67" t="s">
        <v>382</v>
      </c>
      <c r="H37" s="67" t="s">
        <v>223</v>
      </c>
      <c r="J37">
        <v>45</v>
      </c>
      <c r="K37" t="s">
        <v>252</v>
      </c>
      <c r="L37" t="s">
        <v>253</v>
      </c>
      <c r="M37" t="s">
        <v>85</v>
      </c>
      <c r="N37" t="s">
        <v>85</v>
      </c>
      <c r="O37" t="s">
        <v>529</v>
      </c>
      <c r="P37" t="s">
        <v>223</v>
      </c>
      <c r="Q37" t="s">
        <v>307</v>
      </c>
      <c r="R37" t="s">
        <v>368</v>
      </c>
      <c r="S37" t="s">
        <v>479</v>
      </c>
      <c r="T37" t="s">
        <v>480</v>
      </c>
      <c r="U37" t="s">
        <v>486</v>
      </c>
      <c r="V37">
        <f>IFERROR(VLOOKUP(Rotas_Geral[[#This Row],[Nome Loja]],#REF!,3,0),0)</f>
        <v>0</v>
      </c>
      <c r="W37">
        <f>IFERROR(VLOOKUP(Rotas_Geral[[#This Row],[Nome Loja]],#REF!,4,0),0)</f>
        <v>0</v>
      </c>
      <c r="X37">
        <f>IFERROR(VLOOKUP(Rotas_Geral[[#This Row],[Nome Loja]],#REF!,3,0),0)</f>
        <v>0</v>
      </c>
      <c r="Y37">
        <f>IFERROR(VLOOKUP(Rotas_Geral[[#This Row],[Nome Loja]],#REF!,4,0),0)</f>
        <v>0</v>
      </c>
    </row>
    <row r="38" spans="1:25" ht="15.6" x14ac:dyDescent="0.3">
      <c r="A38" s="65">
        <v>5765</v>
      </c>
      <c r="B38" s="65">
        <v>1</v>
      </c>
      <c r="C38" s="65" t="s">
        <v>220</v>
      </c>
      <c r="D38" s="65" t="s">
        <v>221</v>
      </c>
      <c r="E38" s="66" t="s">
        <v>86</v>
      </c>
      <c r="F38" s="66" t="s">
        <v>222</v>
      </c>
      <c r="G38" s="67" t="s">
        <v>382</v>
      </c>
      <c r="H38" s="67" t="s">
        <v>223</v>
      </c>
      <c r="J38">
        <v>46</v>
      </c>
      <c r="K38" t="s">
        <v>254</v>
      </c>
      <c r="L38" t="s">
        <v>255</v>
      </c>
      <c r="M38" t="s">
        <v>85</v>
      </c>
      <c r="N38" t="s">
        <v>514</v>
      </c>
      <c r="O38" t="s">
        <v>529</v>
      </c>
      <c r="P38" t="s">
        <v>223</v>
      </c>
      <c r="Q38" t="s">
        <v>307</v>
      </c>
      <c r="R38" t="s">
        <v>368</v>
      </c>
      <c r="S38" t="s">
        <v>479</v>
      </c>
      <c r="T38" t="s">
        <v>480</v>
      </c>
      <c r="U38" t="s">
        <v>486</v>
      </c>
      <c r="V38">
        <f>IFERROR(VLOOKUP(Rotas_Geral[[#This Row],[Nome Loja]],#REF!,3,0),0)</f>
        <v>0</v>
      </c>
      <c r="W38">
        <f>IFERROR(VLOOKUP(Rotas_Geral[[#This Row],[Nome Loja]],#REF!,4,0),0)</f>
        <v>0</v>
      </c>
      <c r="X38">
        <f>IFERROR(VLOOKUP(Rotas_Geral[[#This Row],[Nome Loja]],#REF!,3,0),0)</f>
        <v>0</v>
      </c>
      <c r="Y38">
        <f>IFERROR(VLOOKUP(Rotas_Geral[[#This Row],[Nome Loja]],#REF!,4,0),0)</f>
        <v>0</v>
      </c>
    </row>
    <row r="39" spans="1:25" ht="15.6" x14ac:dyDescent="0.3">
      <c r="A39" s="65">
        <v>6689</v>
      </c>
      <c r="B39" s="65">
        <v>15</v>
      </c>
      <c r="C39" s="65" t="s">
        <v>228</v>
      </c>
      <c r="D39" s="65" t="s">
        <v>229</v>
      </c>
      <c r="E39" s="66" t="s">
        <v>63</v>
      </c>
      <c r="F39" s="66" t="s">
        <v>222</v>
      </c>
      <c r="G39" s="67" t="s">
        <v>382</v>
      </c>
      <c r="H39" s="67" t="s">
        <v>223</v>
      </c>
      <c r="J39">
        <v>47</v>
      </c>
      <c r="K39" t="s">
        <v>129</v>
      </c>
      <c r="L39" t="s">
        <v>130</v>
      </c>
      <c r="M39" t="s">
        <v>66</v>
      </c>
      <c r="N39" t="s">
        <v>66</v>
      </c>
      <c r="O39" t="s">
        <v>529</v>
      </c>
      <c r="P39" t="s">
        <v>472</v>
      </c>
      <c r="Q39" t="s">
        <v>307</v>
      </c>
      <c r="R39" t="s">
        <v>305</v>
      </c>
      <c r="S39" t="s">
        <v>479</v>
      </c>
      <c r="T39" t="s">
        <v>480</v>
      </c>
      <c r="U39" t="s">
        <v>486</v>
      </c>
      <c r="V39">
        <f>IFERROR(VLOOKUP(Rotas_Geral[[#This Row],[Nome Loja]],#REF!,3,0),0)</f>
        <v>0</v>
      </c>
      <c r="W39">
        <f>IFERROR(VLOOKUP(Rotas_Geral[[#This Row],[Nome Loja]],#REF!,4,0),0)</f>
        <v>0</v>
      </c>
      <c r="X39">
        <f>IFERROR(VLOOKUP(Rotas_Geral[[#This Row],[Nome Loja]],#REF!,3,0),0)</f>
        <v>0</v>
      </c>
      <c r="Y39">
        <f>IFERROR(VLOOKUP(Rotas_Geral[[#This Row],[Nome Loja]],#REF!,4,0),0)</f>
        <v>0</v>
      </c>
    </row>
    <row r="40" spans="1:25" ht="15.6" x14ac:dyDescent="0.3">
      <c r="A40" s="65">
        <v>2645</v>
      </c>
      <c r="B40" s="65">
        <v>2</v>
      </c>
      <c r="C40" s="65" t="s">
        <v>224</v>
      </c>
      <c r="D40" s="65" t="s">
        <v>225</v>
      </c>
      <c r="E40" s="66" t="s">
        <v>65</v>
      </c>
      <c r="F40" s="66" t="s">
        <v>222</v>
      </c>
      <c r="G40" s="67" t="s">
        <v>382</v>
      </c>
      <c r="H40" s="67" t="s">
        <v>223</v>
      </c>
      <c r="J40">
        <v>48</v>
      </c>
      <c r="K40" t="s">
        <v>131</v>
      </c>
      <c r="L40" t="s">
        <v>132</v>
      </c>
      <c r="M40" t="s">
        <v>90</v>
      </c>
      <c r="N40" t="s">
        <v>90</v>
      </c>
      <c r="O40" t="s">
        <v>529</v>
      </c>
      <c r="P40" t="s">
        <v>472</v>
      </c>
      <c r="Q40" t="s">
        <v>307</v>
      </c>
      <c r="R40" t="s">
        <v>305</v>
      </c>
      <c r="S40" t="s">
        <v>493</v>
      </c>
      <c r="T40" t="s">
        <v>480</v>
      </c>
      <c r="U40" t="s">
        <v>492</v>
      </c>
      <c r="V40">
        <f>IFERROR(VLOOKUP(Rotas_Geral[[#This Row],[Nome Loja]],#REF!,3,0),0)</f>
        <v>0</v>
      </c>
      <c r="W40">
        <f>IFERROR(VLOOKUP(Rotas_Geral[[#This Row],[Nome Loja]],#REF!,4,0),0)</f>
        <v>0</v>
      </c>
      <c r="X40">
        <f>IFERROR(VLOOKUP(Rotas_Geral[[#This Row],[Nome Loja]],#REF!,3,0),0)</f>
        <v>0</v>
      </c>
      <c r="Y40">
        <f>IFERROR(VLOOKUP(Rotas_Geral[[#This Row],[Nome Loja]],#REF!,4,0),0)</f>
        <v>0</v>
      </c>
    </row>
    <row r="41" spans="1:25" ht="15.6" x14ac:dyDescent="0.3">
      <c r="A41" s="65"/>
      <c r="B41" s="65">
        <v>4</v>
      </c>
      <c r="C41" s="65" t="s">
        <v>226</v>
      </c>
      <c r="D41" s="65" t="s">
        <v>227</v>
      </c>
      <c r="E41" s="66" t="s">
        <v>65</v>
      </c>
      <c r="F41" s="66" t="s">
        <v>222</v>
      </c>
      <c r="G41" s="67" t="s">
        <v>382</v>
      </c>
      <c r="H41" s="67" t="s">
        <v>223</v>
      </c>
      <c r="J41">
        <v>49</v>
      </c>
      <c r="K41" t="s">
        <v>256</v>
      </c>
      <c r="L41" t="s">
        <v>257</v>
      </c>
      <c r="M41" t="s">
        <v>79</v>
      </c>
      <c r="N41" t="s">
        <v>79</v>
      </c>
      <c r="O41" t="s">
        <v>529</v>
      </c>
      <c r="P41" t="s">
        <v>223</v>
      </c>
      <c r="Q41" t="s">
        <v>307</v>
      </c>
      <c r="R41" t="s">
        <v>368</v>
      </c>
      <c r="S41" t="s">
        <v>479</v>
      </c>
      <c r="T41" t="s">
        <v>480</v>
      </c>
      <c r="U41" t="s">
        <v>492</v>
      </c>
      <c r="V41">
        <f>IFERROR(VLOOKUP(Rotas_Geral[[#This Row],[Nome Loja]],#REF!,3,0),0)</f>
        <v>0</v>
      </c>
      <c r="W41">
        <f>IFERROR(VLOOKUP(Rotas_Geral[[#This Row],[Nome Loja]],#REF!,4,0),0)</f>
        <v>0</v>
      </c>
      <c r="X41">
        <f>IFERROR(VLOOKUP(Rotas_Geral[[#This Row],[Nome Loja]],#REF!,3,0),0)</f>
        <v>0</v>
      </c>
      <c r="Y41">
        <f>IFERROR(VLOOKUP(Rotas_Geral[[#This Row],[Nome Loja]],#REF!,4,0),0)</f>
        <v>0</v>
      </c>
    </row>
    <row r="42" spans="1:25" ht="15.6" x14ac:dyDescent="0.3">
      <c r="A42" s="65" t="e">
        <v>#N/A</v>
      </c>
      <c r="B42" s="65">
        <v>92</v>
      </c>
      <c r="C42" s="65" t="s">
        <v>233</v>
      </c>
      <c r="D42" s="65" t="s">
        <v>234</v>
      </c>
      <c r="E42" s="66" t="s">
        <v>83</v>
      </c>
      <c r="F42" s="66" t="s">
        <v>222</v>
      </c>
      <c r="G42" s="67" t="s">
        <v>382</v>
      </c>
      <c r="H42" s="67" t="s">
        <v>223</v>
      </c>
      <c r="J42">
        <v>50</v>
      </c>
      <c r="K42" t="s">
        <v>258</v>
      </c>
      <c r="L42" t="s">
        <v>258</v>
      </c>
      <c r="M42" t="s">
        <v>90</v>
      </c>
      <c r="N42" t="s">
        <v>90</v>
      </c>
      <c r="O42" t="s">
        <v>529</v>
      </c>
      <c r="P42" t="s">
        <v>223</v>
      </c>
      <c r="Q42" t="s">
        <v>307</v>
      </c>
      <c r="R42" t="s">
        <v>368</v>
      </c>
      <c r="S42" t="s">
        <v>493</v>
      </c>
      <c r="T42" t="s">
        <v>480</v>
      </c>
      <c r="U42" t="s">
        <v>486</v>
      </c>
      <c r="V42">
        <f>IFERROR(VLOOKUP(Rotas_Geral[[#This Row],[Nome Loja]],#REF!,3,0),0)</f>
        <v>0</v>
      </c>
      <c r="W42">
        <f>IFERROR(VLOOKUP(Rotas_Geral[[#This Row],[Nome Loja]],#REF!,4,0),0)</f>
        <v>0</v>
      </c>
      <c r="X42">
        <f>IFERROR(VLOOKUP(Rotas_Geral[[#This Row],[Nome Loja]],#REF!,3,0),0)</f>
        <v>0</v>
      </c>
      <c r="Y42">
        <f>IFERROR(VLOOKUP(Rotas_Geral[[#This Row],[Nome Loja]],#REF!,4,0),0)</f>
        <v>0</v>
      </c>
    </row>
    <row r="43" spans="1:25" ht="15.6" x14ac:dyDescent="0.3">
      <c r="A43" s="65" t="e">
        <v>#N/A</v>
      </c>
      <c r="B43" s="65">
        <v>95</v>
      </c>
      <c r="C43" s="65" t="s">
        <v>236</v>
      </c>
      <c r="D43" s="65" t="s">
        <v>237</v>
      </c>
      <c r="E43" s="66" t="s">
        <v>83</v>
      </c>
      <c r="F43" s="66" t="s">
        <v>222</v>
      </c>
      <c r="G43" s="67" t="s">
        <v>382</v>
      </c>
      <c r="H43" s="67" t="s">
        <v>223</v>
      </c>
      <c r="J43">
        <v>51</v>
      </c>
      <c r="K43" t="s">
        <v>260</v>
      </c>
      <c r="L43" t="s">
        <v>261</v>
      </c>
      <c r="M43" t="s">
        <v>85</v>
      </c>
      <c r="N43" t="s">
        <v>514</v>
      </c>
      <c r="O43" t="s">
        <v>529</v>
      </c>
      <c r="P43" t="s">
        <v>223</v>
      </c>
      <c r="Q43" t="s">
        <v>307</v>
      </c>
      <c r="R43" t="s">
        <v>368</v>
      </c>
      <c r="S43" t="s">
        <v>479</v>
      </c>
      <c r="T43" t="s">
        <v>480</v>
      </c>
      <c r="U43" t="s">
        <v>486</v>
      </c>
      <c r="V43">
        <f>IFERROR(VLOOKUP(Rotas_Geral[[#This Row],[Nome Loja]],#REF!,3,0),0)</f>
        <v>0</v>
      </c>
      <c r="W43">
        <f>IFERROR(VLOOKUP(Rotas_Geral[[#This Row],[Nome Loja]],#REF!,4,0),0)</f>
        <v>0</v>
      </c>
      <c r="X43">
        <f>IFERROR(VLOOKUP(Rotas_Geral[[#This Row],[Nome Loja]],#REF!,3,0),0)</f>
        <v>0</v>
      </c>
      <c r="Y43">
        <f>IFERROR(VLOOKUP(Rotas_Geral[[#This Row],[Nome Loja]],#REF!,4,0),0)</f>
        <v>0</v>
      </c>
    </row>
    <row r="44" spans="1:25" ht="15.6" x14ac:dyDescent="0.3">
      <c r="A44" s="65" t="e">
        <v>#N/A</v>
      </c>
      <c r="B44" s="65">
        <v>52</v>
      </c>
      <c r="C44" s="65" t="s">
        <v>231</v>
      </c>
      <c r="D44" s="65" t="s">
        <v>232</v>
      </c>
      <c r="E44" s="66" t="s">
        <v>63</v>
      </c>
      <c r="F44" s="66" t="s">
        <v>222</v>
      </c>
      <c r="G44" s="67" t="s">
        <v>382</v>
      </c>
      <c r="H44" s="67" t="s">
        <v>223</v>
      </c>
      <c r="J44">
        <v>52</v>
      </c>
      <c r="K44" t="s">
        <v>231</v>
      </c>
      <c r="L44" t="s">
        <v>232</v>
      </c>
      <c r="M44" t="s">
        <v>510</v>
      </c>
      <c r="N44" t="s">
        <v>510</v>
      </c>
      <c r="O44" t="s">
        <v>529</v>
      </c>
      <c r="P44" t="s">
        <v>223</v>
      </c>
      <c r="Q44" t="s">
        <v>307</v>
      </c>
      <c r="R44" t="s">
        <v>298</v>
      </c>
      <c r="S44" t="s">
        <v>479</v>
      </c>
      <c r="T44" t="s">
        <v>480</v>
      </c>
      <c r="U44" t="s">
        <v>492</v>
      </c>
      <c r="V44">
        <f>IFERROR(VLOOKUP(Rotas_Geral[[#This Row],[Nome Loja]],#REF!,3,0),0)</f>
        <v>0</v>
      </c>
      <c r="W44">
        <f>IFERROR(VLOOKUP(Rotas_Geral[[#This Row],[Nome Loja]],#REF!,4,0),0)</f>
        <v>0</v>
      </c>
      <c r="X44">
        <f>IFERROR(VLOOKUP(Rotas_Geral[[#This Row],[Nome Loja]],#REF!,3,0),0)</f>
        <v>0</v>
      </c>
      <c r="Y44">
        <f>IFERROR(VLOOKUP(Rotas_Geral[[#This Row],[Nome Loja]],#REF!,4,0),0)</f>
        <v>0</v>
      </c>
    </row>
    <row r="45" spans="1:25" ht="15.6" x14ac:dyDescent="0.3">
      <c r="A45" s="65" t="e">
        <v>#N/A</v>
      </c>
      <c r="B45" s="65">
        <v>94</v>
      </c>
      <c r="C45" s="65" t="s">
        <v>235</v>
      </c>
      <c r="D45" s="65" t="s">
        <v>235</v>
      </c>
      <c r="E45" s="66" t="s">
        <v>86</v>
      </c>
      <c r="F45" s="66" t="s">
        <v>222</v>
      </c>
      <c r="G45" s="67" t="s">
        <v>382</v>
      </c>
      <c r="H45" s="67" t="s">
        <v>223</v>
      </c>
      <c r="J45">
        <v>87</v>
      </c>
      <c r="K45" t="s">
        <v>298</v>
      </c>
      <c r="L45" t="s">
        <v>298</v>
      </c>
      <c r="M45" t="s">
        <v>435</v>
      </c>
      <c r="N45" t="s">
        <v>435</v>
      </c>
      <c r="O45" t="s">
        <v>529</v>
      </c>
      <c r="P45" t="s">
        <v>378</v>
      </c>
      <c r="Q45" t="s">
        <v>391</v>
      </c>
      <c r="R45" t="s">
        <v>298</v>
      </c>
      <c r="S45" t="s">
        <v>479</v>
      </c>
      <c r="T45" t="s">
        <v>480</v>
      </c>
      <c r="U45" t="s">
        <v>297</v>
      </c>
      <c r="V45">
        <f>IFERROR(VLOOKUP(Rotas_Geral[[#This Row],[Nome Loja]],#REF!,3,0),0)</f>
        <v>0</v>
      </c>
      <c r="W45">
        <f>IFERROR(VLOOKUP(Rotas_Geral[[#This Row],[Nome Loja]],#REF!,4,0),0)</f>
        <v>0</v>
      </c>
      <c r="X45">
        <f>IFERROR(VLOOKUP(Rotas_Geral[[#This Row],[Nome Loja]],#REF!,3,0),0)</f>
        <v>0</v>
      </c>
      <c r="Y45">
        <f>IFERROR(VLOOKUP(Rotas_Geral[[#This Row],[Nome Loja]],#REF!,4,0),0)</f>
        <v>0</v>
      </c>
    </row>
    <row r="46" spans="1:25" ht="15.6" x14ac:dyDescent="0.3">
      <c r="A46" s="65" t="e">
        <v>#N/A</v>
      </c>
      <c r="B46" s="65">
        <v>213</v>
      </c>
      <c r="C46" s="65" t="s">
        <v>388</v>
      </c>
      <c r="D46" s="65" t="s">
        <v>388</v>
      </c>
      <c r="E46" s="66" t="s">
        <v>90</v>
      </c>
      <c r="F46" s="66" t="s">
        <v>222</v>
      </c>
      <c r="G46" s="67" t="s">
        <v>382</v>
      </c>
      <c r="H46" s="67" t="s">
        <v>223</v>
      </c>
      <c r="J46">
        <v>91</v>
      </c>
      <c r="K46" t="s">
        <v>133</v>
      </c>
      <c r="L46" t="s">
        <v>134</v>
      </c>
      <c r="M46" t="s">
        <v>66</v>
      </c>
      <c r="N46" t="s">
        <v>66</v>
      </c>
      <c r="O46" t="s">
        <v>529</v>
      </c>
      <c r="P46" t="s">
        <v>472</v>
      </c>
      <c r="Q46" t="s">
        <v>307</v>
      </c>
      <c r="R46" t="s">
        <v>305</v>
      </c>
      <c r="S46" t="s">
        <v>479</v>
      </c>
      <c r="T46" t="s">
        <v>480</v>
      </c>
      <c r="U46" t="s">
        <v>492</v>
      </c>
      <c r="V46">
        <f>IFERROR(VLOOKUP(Rotas_Geral[[#This Row],[Nome Loja]],#REF!,3,0),0)</f>
        <v>0</v>
      </c>
      <c r="W46">
        <f>IFERROR(VLOOKUP(Rotas_Geral[[#This Row],[Nome Loja]],#REF!,4,0),0)</f>
        <v>0</v>
      </c>
      <c r="X46">
        <f>IFERROR(VLOOKUP(Rotas_Geral[[#This Row],[Nome Loja]],#REF!,3,0),0)</f>
        <v>0</v>
      </c>
      <c r="Y46">
        <f>IFERROR(VLOOKUP(Rotas_Geral[[#This Row],[Nome Loja]],#REF!,4,0),0)</f>
        <v>0</v>
      </c>
    </row>
    <row r="47" spans="1:25" ht="15.6" x14ac:dyDescent="0.3">
      <c r="A47" s="65" t="e">
        <v>#N/A</v>
      </c>
      <c r="B47" s="65">
        <v>50</v>
      </c>
      <c r="C47" s="65" t="s">
        <v>258</v>
      </c>
      <c r="D47" s="65" t="s">
        <v>258</v>
      </c>
      <c r="E47" s="66" t="s">
        <v>90</v>
      </c>
      <c r="F47" s="66" t="s">
        <v>246</v>
      </c>
      <c r="G47" s="67" t="s">
        <v>382</v>
      </c>
      <c r="H47" s="67" t="s">
        <v>223</v>
      </c>
      <c r="J47">
        <v>92</v>
      </c>
      <c r="K47" t="s">
        <v>233</v>
      </c>
      <c r="L47" t="s">
        <v>234</v>
      </c>
      <c r="M47" t="s">
        <v>83</v>
      </c>
      <c r="N47" t="s">
        <v>65</v>
      </c>
      <c r="O47" t="s">
        <v>529</v>
      </c>
      <c r="P47" t="s">
        <v>223</v>
      </c>
      <c r="Q47" t="s">
        <v>307</v>
      </c>
      <c r="R47" t="s">
        <v>298</v>
      </c>
      <c r="S47" t="s">
        <v>479</v>
      </c>
      <c r="T47" t="s">
        <v>480</v>
      </c>
      <c r="U47" t="s">
        <v>492</v>
      </c>
      <c r="V47">
        <f>IFERROR(VLOOKUP(Rotas_Geral[[#This Row],[Nome Loja]],#REF!,3,0),0)</f>
        <v>0</v>
      </c>
      <c r="W47">
        <f>IFERROR(VLOOKUP(Rotas_Geral[[#This Row],[Nome Loja]],#REF!,4,0),0)</f>
        <v>0</v>
      </c>
      <c r="X47">
        <f>IFERROR(VLOOKUP(Rotas_Geral[[#This Row],[Nome Loja]],#REF!,3,0),0)</f>
        <v>0</v>
      </c>
      <c r="Y47">
        <f>IFERROR(VLOOKUP(Rotas_Geral[[#This Row],[Nome Loja]],#REF!,4,0),0)</f>
        <v>0</v>
      </c>
    </row>
    <row r="48" spans="1:25" ht="15.6" x14ac:dyDescent="0.3">
      <c r="A48" s="65">
        <v>12564</v>
      </c>
      <c r="B48" s="65">
        <v>204</v>
      </c>
      <c r="C48" s="65" t="s">
        <v>289</v>
      </c>
      <c r="D48" s="65" t="s">
        <v>290</v>
      </c>
      <c r="E48" s="66" t="s">
        <v>399</v>
      </c>
      <c r="F48" s="66" t="s">
        <v>246</v>
      </c>
      <c r="G48" s="67" t="s">
        <v>382</v>
      </c>
      <c r="H48" s="67" t="s">
        <v>104</v>
      </c>
      <c r="J48">
        <v>93</v>
      </c>
      <c r="K48" t="s">
        <v>189</v>
      </c>
      <c r="L48" t="s">
        <v>190</v>
      </c>
      <c r="M48" t="s">
        <v>90</v>
      </c>
      <c r="N48" t="s">
        <v>515</v>
      </c>
      <c r="O48" t="s">
        <v>529</v>
      </c>
      <c r="P48" t="s">
        <v>109</v>
      </c>
      <c r="Q48" t="s">
        <v>307</v>
      </c>
      <c r="R48" t="s">
        <v>305</v>
      </c>
      <c r="S48" t="s">
        <v>493</v>
      </c>
      <c r="T48" t="s">
        <v>480</v>
      </c>
      <c r="U48" t="s">
        <v>492</v>
      </c>
      <c r="V48">
        <f>IFERROR(VLOOKUP(Rotas_Geral[[#This Row],[Nome Loja]],#REF!,3,0),0)</f>
        <v>0</v>
      </c>
      <c r="W48">
        <f>IFERROR(VLOOKUP(Rotas_Geral[[#This Row],[Nome Loja]],#REF!,4,0),0)</f>
        <v>0</v>
      </c>
      <c r="X48">
        <f>IFERROR(VLOOKUP(Rotas_Geral[[#This Row],[Nome Loja]],#REF!,3,0),0)</f>
        <v>0</v>
      </c>
      <c r="Y48">
        <f>IFERROR(VLOOKUP(Rotas_Geral[[#This Row],[Nome Loja]],#REF!,4,0),0)</f>
        <v>0</v>
      </c>
    </row>
    <row r="49" spans="1:25" ht="15.6" x14ac:dyDescent="0.3">
      <c r="A49" s="65">
        <v>12569</v>
      </c>
      <c r="B49" s="65">
        <v>267</v>
      </c>
      <c r="C49" s="65" t="s">
        <v>389</v>
      </c>
      <c r="D49" s="65" t="s">
        <v>389</v>
      </c>
      <c r="E49" s="66" t="s">
        <v>90</v>
      </c>
      <c r="F49" s="66" t="s">
        <v>246</v>
      </c>
      <c r="G49" s="67" t="s">
        <v>382</v>
      </c>
      <c r="H49" s="67" t="s">
        <v>104</v>
      </c>
      <c r="J49">
        <v>94</v>
      </c>
      <c r="K49" t="s">
        <v>235</v>
      </c>
      <c r="L49" t="s">
        <v>235</v>
      </c>
      <c r="M49" t="s">
        <v>86</v>
      </c>
      <c r="N49" t="s">
        <v>86</v>
      </c>
      <c r="O49" t="s">
        <v>529</v>
      </c>
      <c r="P49" t="s">
        <v>223</v>
      </c>
      <c r="Q49" t="s">
        <v>307</v>
      </c>
      <c r="R49" t="s">
        <v>298</v>
      </c>
      <c r="S49" t="s">
        <v>479</v>
      </c>
      <c r="T49" t="s">
        <v>480</v>
      </c>
      <c r="U49" t="s">
        <v>492</v>
      </c>
      <c r="V49">
        <f>IFERROR(VLOOKUP(Rotas_Geral[[#This Row],[Nome Loja]],#REF!,3,0),0)</f>
        <v>0</v>
      </c>
      <c r="W49">
        <f>IFERROR(VLOOKUP(Rotas_Geral[[#This Row],[Nome Loja]],#REF!,4,0),0)</f>
        <v>0</v>
      </c>
      <c r="X49">
        <f>IFERROR(VLOOKUP(Rotas_Geral[[#This Row],[Nome Loja]],#REF!,3,0),0)</f>
        <v>0</v>
      </c>
      <c r="Y49">
        <f>IFERROR(VLOOKUP(Rotas_Geral[[#This Row],[Nome Loja]],#REF!,4,0),0)</f>
        <v>0</v>
      </c>
    </row>
    <row r="50" spans="1:25" ht="15.6" x14ac:dyDescent="0.3">
      <c r="A50" s="65">
        <v>12575</v>
      </c>
      <c r="B50" s="65">
        <v>449</v>
      </c>
      <c r="C50" s="65" t="s">
        <v>301</v>
      </c>
      <c r="D50" s="65" t="s">
        <v>301</v>
      </c>
      <c r="E50" s="66" t="s">
        <v>90</v>
      </c>
      <c r="F50" s="66" t="s">
        <v>246</v>
      </c>
      <c r="G50" s="67" t="s">
        <v>382</v>
      </c>
      <c r="H50" s="67" t="s">
        <v>104</v>
      </c>
      <c r="J50">
        <v>95</v>
      </c>
      <c r="K50" t="s">
        <v>236</v>
      </c>
      <c r="L50" t="s">
        <v>237</v>
      </c>
      <c r="M50" t="s">
        <v>83</v>
      </c>
      <c r="N50" t="s">
        <v>65</v>
      </c>
      <c r="O50" t="s">
        <v>529</v>
      </c>
      <c r="P50" t="s">
        <v>223</v>
      </c>
      <c r="Q50" t="s">
        <v>307</v>
      </c>
      <c r="R50" t="s">
        <v>298</v>
      </c>
      <c r="S50" t="s">
        <v>479</v>
      </c>
      <c r="T50" t="s">
        <v>480</v>
      </c>
      <c r="U50" t="s">
        <v>492</v>
      </c>
      <c r="V50">
        <f>IFERROR(VLOOKUP(Rotas_Geral[[#This Row],[Nome Loja]],#REF!,3,0),0)</f>
        <v>0</v>
      </c>
      <c r="W50">
        <f>IFERROR(VLOOKUP(Rotas_Geral[[#This Row],[Nome Loja]],#REF!,4,0),0)</f>
        <v>0</v>
      </c>
      <c r="X50">
        <f>IFERROR(VLOOKUP(Rotas_Geral[[#This Row],[Nome Loja]],#REF!,3,0),0)</f>
        <v>0</v>
      </c>
      <c r="Y50">
        <f>IFERROR(VLOOKUP(Rotas_Geral[[#This Row],[Nome Loja]],#REF!,4,0),0)</f>
        <v>0</v>
      </c>
    </row>
    <row r="51" spans="1:25" ht="15.6" x14ac:dyDescent="0.3">
      <c r="A51" s="65">
        <v>13777</v>
      </c>
      <c r="B51" s="65">
        <v>263</v>
      </c>
      <c r="C51" s="65" t="s">
        <v>366</v>
      </c>
      <c r="D51" s="65" t="s">
        <v>366</v>
      </c>
      <c r="E51" s="66" t="s">
        <v>395</v>
      </c>
      <c r="F51" s="66" t="s">
        <v>246</v>
      </c>
      <c r="G51" s="67" t="s">
        <v>382</v>
      </c>
      <c r="H51" s="67" t="s">
        <v>104</v>
      </c>
      <c r="J51">
        <v>96</v>
      </c>
      <c r="K51" t="s">
        <v>191</v>
      </c>
      <c r="L51" t="s">
        <v>192</v>
      </c>
      <c r="M51" t="s">
        <v>90</v>
      </c>
      <c r="N51" t="s">
        <v>357</v>
      </c>
      <c r="O51" t="s">
        <v>529</v>
      </c>
      <c r="P51" t="s">
        <v>109</v>
      </c>
      <c r="Q51" t="s">
        <v>307</v>
      </c>
      <c r="R51" t="s">
        <v>305</v>
      </c>
      <c r="S51" t="s">
        <v>493</v>
      </c>
      <c r="T51" t="s">
        <v>480</v>
      </c>
      <c r="U51" t="s">
        <v>492</v>
      </c>
      <c r="V51">
        <f>IFERROR(VLOOKUP(Rotas_Geral[[#This Row],[Nome Loja]],#REF!,3,0),0)</f>
        <v>0</v>
      </c>
      <c r="W51">
        <f>IFERROR(VLOOKUP(Rotas_Geral[[#This Row],[Nome Loja]],#REF!,4,0),0)</f>
        <v>0</v>
      </c>
      <c r="X51">
        <f>IFERROR(VLOOKUP(Rotas_Geral[[#This Row],[Nome Loja]],#REF!,3,0),0)</f>
        <v>0</v>
      </c>
      <c r="Y51">
        <f>IFERROR(VLOOKUP(Rotas_Geral[[#This Row],[Nome Loja]],#REF!,4,0),0)</f>
        <v>0</v>
      </c>
    </row>
    <row r="52" spans="1:25" ht="15.6" x14ac:dyDescent="0.3">
      <c r="A52" s="65">
        <v>14569</v>
      </c>
      <c r="B52" s="65">
        <v>51</v>
      </c>
      <c r="C52" s="65" t="s">
        <v>260</v>
      </c>
      <c r="D52" s="65" t="s">
        <v>261</v>
      </c>
      <c r="E52" s="66" t="s">
        <v>358</v>
      </c>
      <c r="F52" s="66" t="s">
        <v>246</v>
      </c>
      <c r="G52" s="67" t="s">
        <v>382</v>
      </c>
      <c r="H52" s="67" t="s">
        <v>104</v>
      </c>
      <c r="J52">
        <v>97</v>
      </c>
      <c r="K52" t="s">
        <v>497</v>
      </c>
      <c r="L52" t="s">
        <v>285</v>
      </c>
      <c r="M52" t="s">
        <v>72</v>
      </c>
      <c r="N52" t="s">
        <v>72</v>
      </c>
      <c r="O52" t="s">
        <v>529</v>
      </c>
      <c r="P52" t="s">
        <v>472</v>
      </c>
      <c r="Q52" t="s">
        <v>307</v>
      </c>
      <c r="R52" t="s">
        <v>305</v>
      </c>
      <c r="S52" t="s">
        <v>479</v>
      </c>
      <c r="T52" t="s">
        <v>480</v>
      </c>
      <c r="U52" t="s">
        <v>492</v>
      </c>
      <c r="V52">
        <f>IFERROR(VLOOKUP(Rotas_Geral[[#This Row],[Nome Loja]],#REF!,3,0),0)</f>
        <v>0</v>
      </c>
      <c r="W52">
        <f>IFERROR(VLOOKUP(Rotas_Geral[[#This Row],[Nome Loja]],#REF!,4,0),0)</f>
        <v>0</v>
      </c>
      <c r="X52">
        <f>IFERROR(VLOOKUP(Rotas_Geral[[#This Row],[Nome Loja]],#REF!,3,0),0)</f>
        <v>0</v>
      </c>
      <c r="Y52">
        <f>IFERROR(VLOOKUP(Rotas_Geral[[#This Row],[Nome Loja]],#REF!,4,0),0)</f>
        <v>0</v>
      </c>
    </row>
    <row r="53" spans="1:25" ht="15.6" x14ac:dyDescent="0.3">
      <c r="A53" s="65">
        <v>14545</v>
      </c>
      <c r="B53" s="65">
        <v>36</v>
      </c>
      <c r="C53" s="65" t="s">
        <v>247</v>
      </c>
      <c r="D53" s="65" t="s">
        <v>248</v>
      </c>
      <c r="E53" s="66" t="s">
        <v>85</v>
      </c>
      <c r="F53" s="66" t="s">
        <v>246</v>
      </c>
      <c r="G53" s="67" t="s">
        <v>382</v>
      </c>
      <c r="H53" s="67" t="s">
        <v>104</v>
      </c>
      <c r="J53">
        <v>99</v>
      </c>
      <c r="K53" t="s">
        <v>135</v>
      </c>
      <c r="L53" t="s">
        <v>136</v>
      </c>
      <c r="M53" t="s">
        <v>90</v>
      </c>
      <c r="N53" t="s">
        <v>90</v>
      </c>
      <c r="O53" t="s">
        <v>529</v>
      </c>
      <c r="P53" t="s">
        <v>472</v>
      </c>
      <c r="Q53" t="s">
        <v>307</v>
      </c>
      <c r="R53" t="s">
        <v>305</v>
      </c>
      <c r="S53" t="s">
        <v>493</v>
      </c>
      <c r="T53" t="s">
        <v>480</v>
      </c>
      <c r="U53" t="s">
        <v>492</v>
      </c>
      <c r="V53">
        <f>IFERROR(VLOOKUP(Rotas_Geral[[#This Row],[Nome Loja]],#REF!,3,0),0)</f>
        <v>0</v>
      </c>
      <c r="W53">
        <f>IFERROR(VLOOKUP(Rotas_Geral[[#This Row],[Nome Loja]],#REF!,4,0),0)</f>
        <v>0</v>
      </c>
      <c r="X53">
        <f>IFERROR(VLOOKUP(Rotas_Geral[[#This Row],[Nome Loja]],#REF!,3,0),0)</f>
        <v>0</v>
      </c>
      <c r="Y53">
        <f>IFERROR(VLOOKUP(Rotas_Geral[[#This Row],[Nome Loja]],#REF!,4,0),0)</f>
        <v>0</v>
      </c>
    </row>
    <row r="54" spans="1:25" ht="15.6" x14ac:dyDescent="0.3">
      <c r="A54" s="65">
        <v>14602</v>
      </c>
      <c r="B54" s="65">
        <v>37</v>
      </c>
      <c r="C54" s="65" t="s">
        <v>249</v>
      </c>
      <c r="D54" s="65" t="s">
        <v>250</v>
      </c>
      <c r="E54" s="66" t="s">
        <v>80</v>
      </c>
      <c r="F54" s="66" t="s">
        <v>246</v>
      </c>
      <c r="G54" s="67" t="s">
        <v>382</v>
      </c>
      <c r="H54" s="67" t="s">
        <v>104</v>
      </c>
      <c r="J54">
        <v>106</v>
      </c>
      <c r="K54" t="s">
        <v>368</v>
      </c>
      <c r="L54" t="s">
        <v>368</v>
      </c>
      <c r="M54" t="s">
        <v>90</v>
      </c>
      <c r="N54" t="s">
        <v>90</v>
      </c>
      <c r="O54" t="s">
        <v>529</v>
      </c>
      <c r="P54" t="s">
        <v>391</v>
      </c>
      <c r="Q54" t="s">
        <v>307</v>
      </c>
      <c r="R54" t="s">
        <v>368</v>
      </c>
      <c r="S54" t="s">
        <v>479</v>
      </c>
      <c r="T54" t="s">
        <v>480</v>
      </c>
      <c r="U54" t="s">
        <v>297</v>
      </c>
      <c r="V54">
        <f>IFERROR(VLOOKUP(Rotas_Geral[[#This Row],[Nome Loja]],#REF!,3,0),0)</f>
        <v>0</v>
      </c>
      <c r="W54">
        <f>IFERROR(VLOOKUP(Rotas_Geral[[#This Row],[Nome Loja]],#REF!,4,0),0)</f>
        <v>0</v>
      </c>
      <c r="X54">
        <f>IFERROR(VLOOKUP(Rotas_Geral[[#This Row],[Nome Loja]],#REF!,3,0),0)</f>
        <v>0</v>
      </c>
      <c r="Y54">
        <f>IFERROR(VLOOKUP(Rotas_Geral[[#This Row],[Nome Loja]],#REF!,4,0),0)</f>
        <v>0</v>
      </c>
    </row>
    <row r="55" spans="1:25" ht="15.6" x14ac:dyDescent="0.3">
      <c r="A55" s="65">
        <v>15748</v>
      </c>
      <c r="B55" s="65">
        <v>49</v>
      </c>
      <c r="C55" s="65" t="s">
        <v>256</v>
      </c>
      <c r="D55" s="65" t="s">
        <v>257</v>
      </c>
      <c r="E55" s="66" t="s">
        <v>79</v>
      </c>
      <c r="F55" s="66" t="s">
        <v>246</v>
      </c>
      <c r="G55" s="67" t="s">
        <v>382</v>
      </c>
      <c r="H55" s="67" t="s">
        <v>104</v>
      </c>
      <c r="J55">
        <v>116</v>
      </c>
      <c r="K55" t="s">
        <v>305</v>
      </c>
      <c r="L55" t="s">
        <v>305</v>
      </c>
      <c r="M55" t="s">
        <v>527</v>
      </c>
      <c r="N55" t="s">
        <v>527</v>
      </c>
      <c r="O55" t="s">
        <v>529</v>
      </c>
      <c r="P55" t="s">
        <v>378</v>
      </c>
      <c r="Q55" t="s">
        <v>391</v>
      </c>
      <c r="R55" t="s">
        <v>305</v>
      </c>
      <c r="S55" t="s">
        <v>479</v>
      </c>
      <c r="T55" t="s">
        <v>480</v>
      </c>
      <c r="U55" t="s">
        <v>297</v>
      </c>
      <c r="V55">
        <f>IFERROR(VLOOKUP(Rotas_Geral[[#This Row],[Nome Loja]],#REF!,3,0),0)</f>
        <v>0</v>
      </c>
      <c r="W55">
        <f>IFERROR(VLOOKUP(Rotas_Geral[[#This Row],[Nome Loja]],#REF!,4,0),0)</f>
        <v>0</v>
      </c>
      <c r="X55">
        <f>IFERROR(VLOOKUP(Rotas_Geral[[#This Row],[Nome Loja]],#REF!,3,0),0)</f>
        <v>0</v>
      </c>
      <c r="Y55">
        <f>IFERROR(VLOOKUP(Rotas_Geral[[#This Row],[Nome Loja]],#REF!,4,0),0)</f>
        <v>0</v>
      </c>
    </row>
    <row r="56" spans="1:25" ht="15.6" x14ac:dyDescent="0.3">
      <c r="A56" s="65">
        <v>19243</v>
      </c>
      <c r="B56" s="65">
        <v>35</v>
      </c>
      <c r="C56" s="65" t="s">
        <v>244</v>
      </c>
      <c r="D56" s="65" t="s">
        <v>245</v>
      </c>
      <c r="E56" s="66" t="s">
        <v>79</v>
      </c>
      <c r="F56" s="66" t="s">
        <v>246</v>
      </c>
      <c r="G56" s="67" t="s">
        <v>382</v>
      </c>
      <c r="H56" s="67" t="s">
        <v>104</v>
      </c>
      <c r="J56">
        <v>200</v>
      </c>
      <c r="K56" t="s">
        <v>193</v>
      </c>
      <c r="L56" t="s">
        <v>194</v>
      </c>
      <c r="M56" t="s">
        <v>62</v>
      </c>
      <c r="N56" t="s">
        <v>357</v>
      </c>
      <c r="O56" t="s">
        <v>529</v>
      </c>
      <c r="P56" t="s">
        <v>109</v>
      </c>
      <c r="Q56" t="s">
        <v>307</v>
      </c>
      <c r="R56" t="s">
        <v>305</v>
      </c>
      <c r="S56" t="s">
        <v>479</v>
      </c>
      <c r="T56" t="s">
        <v>480</v>
      </c>
      <c r="U56" t="s">
        <v>486</v>
      </c>
      <c r="V56">
        <f>IFERROR(VLOOKUP(Rotas_Geral[[#This Row],[Nome Loja]],#REF!,3,0),0)</f>
        <v>0</v>
      </c>
      <c r="W56">
        <f>IFERROR(VLOOKUP(Rotas_Geral[[#This Row],[Nome Loja]],#REF!,4,0),0)</f>
        <v>0</v>
      </c>
      <c r="X56">
        <f>IFERROR(VLOOKUP(Rotas_Geral[[#This Row],[Nome Loja]],#REF!,3,0),0)</f>
        <v>0</v>
      </c>
      <c r="Y56">
        <f>IFERROR(VLOOKUP(Rotas_Geral[[#This Row],[Nome Loja]],#REF!,4,0),0)</f>
        <v>0</v>
      </c>
    </row>
    <row r="57" spans="1:25" ht="15.6" x14ac:dyDescent="0.3">
      <c r="A57" s="65">
        <v>20207</v>
      </c>
      <c r="B57" s="65">
        <v>46</v>
      </c>
      <c r="C57" s="65" t="s">
        <v>254</v>
      </c>
      <c r="D57" s="65" t="s">
        <v>255</v>
      </c>
      <c r="E57" s="66" t="s">
        <v>358</v>
      </c>
      <c r="F57" s="66" t="s">
        <v>246</v>
      </c>
      <c r="G57" s="67" t="s">
        <v>382</v>
      </c>
      <c r="H57" s="67" t="s">
        <v>104</v>
      </c>
      <c r="J57">
        <v>201</v>
      </c>
      <c r="K57" t="s">
        <v>195</v>
      </c>
      <c r="L57" t="s">
        <v>195</v>
      </c>
      <c r="M57" t="s">
        <v>62</v>
      </c>
      <c r="N57" t="s">
        <v>426</v>
      </c>
      <c r="O57" t="s">
        <v>529</v>
      </c>
      <c r="P57" t="s">
        <v>109</v>
      </c>
      <c r="Q57" t="s">
        <v>307</v>
      </c>
      <c r="R57" t="s">
        <v>305</v>
      </c>
      <c r="S57" t="s">
        <v>479</v>
      </c>
      <c r="T57" t="s">
        <v>480</v>
      </c>
      <c r="U57" t="s">
        <v>486</v>
      </c>
      <c r="V57">
        <f>IFERROR(VLOOKUP(Rotas_Geral[[#This Row],[Nome Loja]],#REF!,3,0),0)</f>
        <v>0</v>
      </c>
      <c r="W57">
        <f>IFERROR(VLOOKUP(Rotas_Geral[[#This Row],[Nome Loja]],#REF!,4,0),0)</f>
        <v>0</v>
      </c>
      <c r="X57">
        <f>IFERROR(VLOOKUP(Rotas_Geral[[#This Row],[Nome Loja]],#REF!,3,0),0)</f>
        <v>0</v>
      </c>
      <c r="Y57">
        <f>IFERROR(VLOOKUP(Rotas_Geral[[#This Row],[Nome Loja]],#REF!,4,0),0)</f>
        <v>0</v>
      </c>
    </row>
    <row r="58" spans="1:25" ht="15.6" x14ac:dyDescent="0.3">
      <c r="A58" s="65"/>
      <c r="B58" s="65">
        <v>256</v>
      </c>
      <c r="C58" s="65" t="s">
        <v>286</v>
      </c>
      <c r="D58" s="65" t="s">
        <v>287</v>
      </c>
      <c r="E58" s="66" t="s">
        <v>90</v>
      </c>
      <c r="F58" s="66" t="s">
        <v>246</v>
      </c>
      <c r="G58" s="67" t="s">
        <v>382</v>
      </c>
      <c r="H58" s="67" t="s">
        <v>104</v>
      </c>
      <c r="J58">
        <v>202</v>
      </c>
      <c r="K58" t="s">
        <v>137</v>
      </c>
      <c r="L58" t="s">
        <v>138</v>
      </c>
      <c r="M58" t="s">
        <v>90</v>
      </c>
      <c r="N58" t="s">
        <v>90</v>
      </c>
      <c r="O58" t="s">
        <v>529</v>
      </c>
      <c r="P58" t="s">
        <v>472</v>
      </c>
      <c r="Q58" t="s">
        <v>307</v>
      </c>
      <c r="R58" t="s">
        <v>305</v>
      </c>
      <c r="S58" t="s">
        <v>493</v>
      </c>
      <c r="T58" t="s">
        <v>480</v>
      </c>
      <c r="U58" t="s">
        <v>486</v>
      </c>
      <c r="V58">
        <f>IFERROR(VLOOKUP(Rotas_Geral[[#This Row],[Nome Loja]],#REF!,3,0),0)</f>
        <v>0</v>
      </c>
      <c r="W58">
        <f>IFERROR(VLOOKUP(Rotas_Geral[[#This Row],[Nome Loja]],#REF!,4,0),0)</f>
        <v>0</v>
      </c>
      <c r="X58">
        <f>IFERROR(VLOOKUP(Rotas_Geral[[#This Row],[Nome Loja]],#REF!,3,0),0)</f>
        <v>0</v>
      </c>
      <c r="Y58">
        <f>IFERROR(VLOOKUP(Rotas_Geral[[#This Row],[Nome Loja]],#REF!,4,0),0)</f>
        <v>0</v>
      </c>
    </row>
    <row r="59" spans="1:25" ht="15.6" x14ac:dyDescent="0.3">
      <c r="A59" s="65"/>
      <c r="B59" s="65">
        <v>257</v>
      </c>
      <c r="C59" s="65" t="s">
        <v>265</v>
      </c>
      <c r="D59" s="65" t="s">
        <v>266</v>
      </c>
      <c r="E59" s="66" t="s">
        <v>395</v>
      </c>
      <c r="F59" s="66" t="s">
        <v>246</v>
      </c>
      <c r="G59" s="67" t="s">
        <v>382</v>
      </c>
      <c r="H59" s="67" t="s">
        <v>104</v>
      </c>
      <c r="J59">
        <v>203</v>
      </c>
      <c r="K59" t="s">
        <v>262</v>
      </c>
      <c r="L59" t="s">
        <v>263</v>
      </c>
      <c r="M59" t="s">
        <v>90</v>
      </c>
      <c r="N59" t="s">
        <v>90</v>
      </c>
      <c r="O59" t="s">
        <v>529</v>
      </c>
      <c r="P59" t="s">
        <v>223</v>
      </c>
      <c r="Q59" t="s">
        <v>307</v>
      </c>
      <c r="R59" t="s">
        <v>368</v>
      </c>
      <c r="S59" t="s">
        <v>493</v>
      </c>
      <c r="T59" t="s">
        <v>480</v>
      </c>
      <c r="U59" t="s">
        <v>486</v>
      </c>
      <c r="V59">
        <f>IFERROR(VLOOKUP(Rotas_Geral[[#This Row],[Nome Loja]],#REF!,3,0),0)</f>
        <v>0</v>
      </c>
      <c r="W59">
        <f>IFERROR(VLOOKUP(Rotas_Geral[[#This Row],[Nome Loja]],#REF!,4,0),0)</f>
        <v>0</v>
      </c>
      <c r="X59">
        <f>IFERROR(VLOOKUP(Rotas_Geral[[#This Row],[Nome Loja]],#REF!,3,0),0)</f>
        <v>0</v>
      </c>
      <c r="Y59">
        <f>IFERROR(VLOOKUP(Rotas_Geral[[#This Row],[Nome Loja]],#REF!,4,0),0)</f>
        <v>0</v>
      </c>
    </row>
    <row r="60" spans="1:25" ht="15.6" x14ac:dyDescent="0.3">
      <c r="A60" s="65">
        <v>10567</v>
      </c>
      <c r="B60" s="65">
        <v>45</v>
      </c>
      <c r="C60" s="65" t="s">
        <v>252</v>
      </c>
      <c r="D60" s="65" t="s">
        <v>253</v>
      </c>
      <c r="E60" s="66" t="s">
        <v>85</v>
      </c>
      <c r="F60" s="66" t="s">
        <v>246</v>
      </c>
      <c r="G60" s="67" t="s">
        <v>382</v>
      </c>
      <c r="H60" s="67" t="s">
        <v>104</v>
      </c>
      <c r="J60">
        <v>204</v>
      </c>
      <c r="K60" t="s">
        <v>289</v>
      </c>
      <c r="L60" t="s">
        <v>290</v>
      </c>
      <c r="M60" t="s">
        <v>90</v>
      </c>
      <c r="N60" t="s">
        <v>90</v>
      </c>
      <c r="O60" t="s">
        <v>529</v>
      </c>
      <c r="P60" t="s">
        <v>223</v>
      </c>
      <c r="Q60" t="s">
        <v>307</v>
      </c>
      <c r="R60" t="s">
        <v>368</v>
      </c>
      <c r="S60" t="s">
        <v>493</v>
      </c>
      <c r="T60" t="s">
        <v>480</v>
      </c>
      <c r="U60" t="s">
        <v>486</v>
      </c>
      <c r="V60">
        <f>IFERROR(VLOOKUP(Rotas_Geral[[#This Row],[Nome Loja]],#REF!,3,0),0)</f>
        <v>0</v>
      </c>
      <c r="W60">
        <f>IFERROR(VLOOKUP(Rotas_Geral[[#This Row],[Nome Loja]],#REF!,4,0),0)</f>
        <v>0</v>
      </c>
      <c r="X60">
        <f>IFERROR(VLOOKUP(Rotas_Geral[[#This Row],[Nome Loja]],#REF!,3,0),0)</f>
        <v>0</v>
      </c>
      <c r="Y60">
        <f>IFERROR(VLOOKUP(Rotas_Geral[[#This Row],[Nome Loja]],#REF!,4,0),0)</f>
        <v>0</v>
      </c>
    </row>
    <row r="61" spans="1:25" ht="15.6" x14ac:dyDescent="0.3">
      <c r="A61" s="65">
        <v>10566</v>
      </c>
      <c r="B61" s="65">
        <v>203</v>
      </c>
      <c r="C61" s="65" t="s">
        <v>262</v>
      </c>
      <c r="D61" s="65" t="s">
        <v>263</v>
      </c>
      <c r="E61" s="66" t="s">
        <v>90</v>
      </c>
      <c r="F61" s="66" t="s">
        <v>246</v>
      </c>
      <c r="G61" s="67" t="s">
        <v>382</v>
      </c>
      <c r="H61" s="67" t="s">
        <v>104</v>
      </c>
      <c r="J61">
        <v>207</v>
      </c>
      <c r="K61" t="s">
        <v>300</v>
      </c>
      <c r="L61" t="s">
        <v>300</v>
      </c>
      <c r="M61" t="s">
        <v>90</v>
      </c>
      <c r="N61" t="s">
        <v>90</v>
      </c>
      <c r="O61" t="s">
        <v>529</v>
      </c>
      <c r="P61" t="s">
        <v>223</v>
      </c>
      <c r="Q61" t="s">
        <v>307</v>
      </c>
      <c r="R61" t="s">
        <v>298</v>
      </c>
      <c r="S61" t="s">
        <v>479</v>
      </c>
      <c r="T61" t="s">
        <v>480</v>
      </c>
      <c r="U61" t="s">
        <v>492</v>
      </c>
      <c r="V61">
        <f>IFERROR(VLOOKUP(Rotas_Geral[[#This Row],[Nome Loja]],#REF!,3,0),0)</f>
        <v>0</v>
      </c>
      <c r="W61">
        <f>IFERROR(VLOOKUP(Rotas_Geral[[#This Row],[Nome Loja]],#REF!,4,0),0)</f>
        <v>0</v>
      </c>
      <c r="X61">
        <f>IFERROR(VLOOKUP(Rotas_Geral[[#This Row],[Nome Loja]],#REF!,3,0),0)</f>
        <v>0</v>
      </c>
      <c r="Y61">
        <f>IFERROR(VLOOKUP(Rotas_Geral[[#This Row],[Nome Loja]],#REF!,4,0),0)</f>
        <v>0</v>
      </c>
    </row>
    <row r="62" spans="1:25" ht="15.6" x14ac:dyDescent="0.3">
      <c r="A62" s="65">
        <v>10533</v>
      </c>
      <c r="B62" s="65">
        <v>268</v>
      </c>
      <c r="C62" s="65" t="s">
        <v>390</v>
      </c>
      <c r="D62" s="65" t="s">
        <v>390</v>
      </c>
      <c r="E62" s="66" t="s">
        <v>90</v>
      </c>
      <c r="F62" s="66" t="s">
        <v>246</v>
      </c>
      <c r="G62" s="67" t="s">
        <v>382</v>
      </c>
      <c r="H62" s="67" t="s">
        <v>104</v>
      </c>
      <c r="J62">
        <v>208</v>
      </c>
      <c r="K62" t="s">
        <v>387</v>
      </c>
      <c r="L62" t="s">
        <v>387</v>
      </c>
      <c r="M62" t="s">
        <v>90</v>
      </c>
      <c r="N62" t="s">
        <v>517</v>
      </c>
      <c r="O62" t="s">
        <v>529</v>
      </c>
      <c r="P62" t="s">
        <v>223</v>
      </c>
      <c r="Q62" t="s">
        <v>307</v>
      </c>
      <c r="R62" t="s">
        <v>485</v>
      </c>
      <c r="S62" t="s">
        <v>493</v>
      </c>
      <c r="T62" t="s">
        <v>480</v>
      </c>
      <c r="U62" t="s">
        <v>486</v>
      </c>
      <c r="V62">
        <f>IFERROR(VLOOKUP(Rotas_Geral[[#This Row],[Nome Loja]],#REF!,3,0),0)</f>
        <v>0</v>
      </c>
      <c r="W62">
        <f>IFERROR(VLOOKUP(Rotas_Geral[[#This Row],[Nome Loja]],#REF!,4,0),0)</f>
        <v>0</v>
      </c>
      <c r="X62">
        <f>IFERROR(VLOOKUP(Rotas_Geral[[#This Row],[Nome Loja]],#REF!,3,0),0)</f>
        <v>0</v>
      </c>
      <c r="Y62">
        <f>IFERROR(VLOOKUP(Rotas_Geral[[#This Row],[Nome Loja]],#REF!,4,0),0)</f>
        <v>0</v>
      </c>
    </row>
    <row r="63" spans="1:25" ht="15.6" x14ac:dyDescent="0.3">
      <c r="A63" s="65">
        <v>12466</v>
      </c>
      <c r="B63" s="65">
        <v>253</v>
      </c>
      <c r="C63" s="65" t="s">
        <v>264</v>
      </c>
      <c r="D63" s="65" t="s">
        <v>264</v>
      </c>
      <c r="E63" s="66" t="s">
        <v>78</v>
      </c>
      <c r="F63" s="66" t="s">
        <v>246</v>
      </c>
      <c r="G63" s="67" t="s">
        <v>382</v>
      </c>
      <c r="H63" s="67" t="s">
        <v>104</v>
      </c>
      <c r="J63">
        <v>211</v>
      </c>
      <c r="K63" t="s">
        <v>371</v>
      </c>
      <c r="L63" t="s">
        <v>372</v>
      </c>
      <c r="M63" t="s">
        <v>90</v>
      </c>
      <c r="N63" t="s">
        <v>90</v>
      </c>
      <c r="O63" t="s">
        <v>529</v>
      </c>
      <c r="P63" t="s">
        <v>472</v>
      </c>
      <c r="Q63" t="s">
        <v>307</v>
      </c>
      <c r="R63" t="s">
        <v>305</v>
      </c>
      <c r="S63" t="s">
        <v>493</v>
      </c>
      <c r="T63" t="s">
        <v>480</v>
      </c>
      <c r="U63" t="s">
        <v>486</v>
      </c>
      <c r="V63">
        <f>IFERROR(VLOOKUP(Rotas_Geral[[#This Row],[Nome Loja]],#REF!,3,0),0)</f>
        <v>0</v>
      </c>
      <c r="W63">
        <f>IFERROR(VLOOKUP(Rotas_Geral[[#This Row],[Nome Loja]],#REF!,4,0),0)</f>
        <v>0</v>
      </c>
      <c r="X63">
        <f>IFERROR(VLOOKUP(Rotas_Geral[[#This Row],[Nome Loja]],#REF!,3,0),0)</f>
        <v>0</v>
      </c>
      <c r="Y63">
        <f>IFERROR(VLOOKUP(Rotas_Geral[[#This Row],[Nome Loja]],#REF!,4,0),0)</f>
        <v>0</v>
      </c>
    </row>
    <row r="64" spans="1:25" ht="15.6" x14ac:dyDescent="0.3">
      <c r="A64" s="65">
        <v>11081</v>
      </c>
      <c r="B64" s="65">
        <v>464</v>
      </c>
      <c r="C64" s="65" t="s">
        <v>408</v>
      </c>
      <c r="D64" s="65" t="s">
        <v>408</v>
      </c>
      <c r="E64" s="66" t="s">
        <v>90</v>
      </c>
      <c r="F64" s="66" t="s">
        <v>246</v>
      </c>
      <c r="G64" s="67" t="s">
        <v>382</v>
      </c>
      <c r="H64" s="67" t="s">
        <v>104</v>
      </c>
      <c r="J64">
        <v>213</v>
      </c>
      <c r="K64" t="s">
        <v>388</v>
      </c>
      <c r="L64" t="s">
        <v>388</v>
      </c>
      <c r="M64" t="s">
        <v>90</v>
      </c>
      <c r="N64" t="s">
        <v>90</v>
      </c>
      <c r="O64" t="s">
        <v>529</v>
      </c>
      <c r="P64" t="s">
        <v>223</v>
      </c>
      <c r="Q64" t="s">
        <v>307</v>
      </c>
      <c r="R64" t="s">
        <v>298</v>
      </c>
      <c r="S64" t="s">
        <v>493</v>
      </c>
      <c r="T64" t="s">
        <v>480</v>
      </c>
      <c r="U64" t="s">
        <v>486</v>
      </c>
      <c r="V64">
        <f>IFERROR(VLOOKUP(Rotas_Geral[[#This Row],[Nome Loja]],#REF!,3,0),0)</f>
        <v>0</v>
      </c>
      <c r="W64">
        <f>IFERROR(VLOOKUP(Rotas_Geral[[#This Row],[Nome Loja]],#REF!,4,0),0)</f>
        <v>0</v>
      </c>
      <c r="X64">
        <f>IFERROR(VLOOKUP(Rotas_Geral[[#This Row],[Nome Loja]],#REF!,3,0),0)</f>
        <v>0</v>
      </c>
      <c r="Y64">
        <f>IFERROR(VLOOKUP(Rotas_Geral[[#This Row],[Nome Loja]],#REF!,4,0),0)</f>
        <v>0</v>
      </c>
    </row>
    <row r="65" spans="1:25" ht="15.6" x14ac:dyDescent="0.3">
      <c r="A65" s="65" t="e">
        <v>#N/A</v>
      </c>
      <c r="B65" s="65">
        <v>38</v>
      </c>
      <c r="C65" s="65" t="s">
        <v>251</v>
      </c>
      <c r="D65" s="65" t="s">
        <v>251</v>
      </c>
      <c r="E65" s="66" t="s">
        <v>90</v>
      </c>
      <c r="F65" s="66" t="s">
        <v>259</v>
      </c>
      <c r="G65" s="67" t="s">
        <v>382</v>
      </c>
      <c r="H65" s="67" t="s">
        <v>104</v>
      </c>
      <c r="J65">
        <v>222</v>
      </c>
      <c r="K65" t="s">
        <v>196</v>
      </c>
      <c r="L65" t="s">
        <v>197</v>
      </c>
      <c r="M65" t="s">
        <v>90</v>
      </c>
      <c r="N65" t="s">
        <v>90</v>
      </c>
      <c r="O65" t="s">
        <v>529</v>
      </c>
      <c r="P65" t="s">
        <v>109</v>
      </c>
      <c r="Q65" t="s">
        <v>307</v>
      </c>
      <c r="R65" t="s">
        <v>491</v>
      </c>
      <c r="S65" t="s">
        <v>479</v>
      </c>
      <c r="T65" t="s">
        <v>501</v>
      </c>
      <c r="U65" t="s">
        <v>486</v>
      </c>
      <c r="V65">
        <f>IFERROR(VLOOKUP(Rotas_Geral[[#This Row],[Nome Loja]],#REF!,3,0),0)</f>
        <v>0</v>
      </c>
      <c r="W65">
        <f>IFERROR(VLOOKUP(Rotas_Geral[[#This Row],[Nome Loja]],#REF!,4,0),0)</f>
        <v>0</v>
      </c>
      <c r="X65">
        <f>IFERROR(VLOOKUP(Rotas_Geral[[#This Row],[Nome Loja]],#REF!,3,0),0)</f>
        <v>0</v>
      </c>
      <c r="Y65">
        <f>IFERROR(VLOOKUP(Rotas_Geral[[#This Row],[Nome Loja]],#REF!,4,0),0)</f>
        <v>0</v>
      </c>
    </row>
    <row r="66" spans="1:25" ht="15.6" x14ac:dyDescent="0.3">
      <c r="A66" s="65">
        <v>19242</v>
      </c>
      <c r="B66" s="65">
        <v>437</v>
      </c>
      <c r="C66" s="65" t="s">
        <v>283</v>
      </c>
      <c r="D66" s="65" t="s">
        <v>284</v>
      </c>
      <c r="E66" s="66" t="s">
        <v>90</v>
      </c>
      <c r="F66" s="66" t="s">
        <v>259</v>
      </c>
      <c r="G66" s="67" t="s">
        <v>382</v>
      </c>
      <c r="H66" s="67" t="s">
        <v>104</v>
      </c>
      <c r="J66">
        <v>225</v>
      </c>
      <c r="K66" t="s">
        <v>198</v>
      </c>
      <c r="L66" t="s">
        <v>199</v>
      </c>
      <c r="M66" t="s">
        <v>90</v>
      </c>
      <c r="N66" t="s">
        <v>90</v>
      </c>
      <c r="O66" t="s">
        <v>529</v>
      </c>
      <c r="P66" t="s">
        <v>109</v>
      </c>
      <c r="Q66" t="s">
        <v>307</v>
      </c>
      <c r="R66" t="s">
        <v>491</v>
      </c>
      <c r="S66" t="s">
        <v>479</v>
      </c>
      <c r="T66" t="s">
        <v>501</v>
      </c>
      <c r="U66" t="s">
        <v>486</v>
      </c>
      <c r="V66">
        <f>IFERROR(VLOOKUP(Rotas_Geral[[#This Row],[Nome Loja]],#REF!,3,0),0)</f>
        <v>0</v>
      </c>
      <c r="W66">
        <f>IFERROR(VLOOKUP(Rotas_Geral[[#This Row],[Nome Loja]],#REF!,4,0),0)</f>
        <v>0</v>
      </c>
      <c r="X66">
        <f>IFERROR(VLOOKUP(Rotas_Geral[[#This Row],[Nome Loja]],#REF!,3,0),0)</f>
        <v>0</v>
      </c>
      <c r="Y66">
        <f>IFERROR(VLOOKUP(Rotas_Geral[[#This Row],[Nome Loja]],#REF!,4,0),0)</f>
        <v>0</v>
      </c>
    </row>
    <row r="67" spans="1:25" ht="15.6" x14ac:dyDescent="0.3">
      <c r="A67" s="65">
        <v>19318</v>
      </c>
      <c r="B67" s="65">
        <v>453</v>
      </c>
      <c r="C67" s="65" t="s">
        <v>291</v>
      </c>
      <c r="D67" s="65" t="s">
        <v>291</v>
      </c>
      <c r="E67" s="66" t="s">
        <v>90</v>
      </c>
      <c r="F67" s="66" t="s">
        <v>259</v>
      </c>
      <c r="G67" s="67" t="s">
        <v>382</v>
      </c>
      <c r="H67" s="67" t="s">
        <v>104</v>
      </c>
      <c r="J67">
        <v>251</v>
      </c>
      <c r="K67" t="s">
        <v>499</v>
      </c>
      <c r="L67" t="s">
        <v>140</v>
      </c>
      <c r="M67" t="s">
        <v>363</v>
      </c>
      <c r="N67" t="s">
        <v>363</v>
      </c>
      <c r="O67" t="s">
        <v>529</v>
      </c>
      <c r="P67" t="s">
        <v>472</v>
      </c>
      <c r="Q67" t="s">
        <v>307</v>
      </c>
      <c r="R67" t="s">
        <v>305</v>
      </c>
      <c r="S67" t="s">
        <v>479</v>
      </c>
      <c r="T67" t="s">
        <v>480</v>
      </c>
      <c r="U67" t="s">
        <v>492</v>
      </c>
      <c r="V67">
        <f>IFERROR(VLOOKUP(Rotas_Geral[[#This Row],[Nome Loja]],#REF!,3,0),0)</f>
        <v>0</v>
      </c>
      <c r="W67">
        <f>IFERROR(VLOOKUP(Rotas_Geral[[#This Row],[Nome Loja]],#REF!,4,0),0)</f>
        <v>0</v>
      </c>
      <c r="X67">
        <f>IFERROR(VLOOKUP(Rotas_Geral[[#This Row],[Nome Loja]],#REF!,3,0),0)</f>
        <v>0</v>
      </c>
      <c r="Y67">
        <f>IFERROR(VLOOKUP(Rotas_Geral[[#This Row],[Nome Loja]],#REF!,4,0),0)</f>
        <v>0</v>
      </c>
    </row>
    <row r="68" spans="1:25" ht="15.6" x14ac:dyDescent="0.3">
      <c r="A68" s="65"/>
      <c r="B68" s="65">
        <v>416</v>
      </c>
      <c r="C68" s="65" t="s">
        <v>267</v>
      </c>
      <c r="D68" s="65" t="s">
        <v>268</v>
      </c>
      <c r="E68" s="66" t="s">
        <v>90</v>
      </c>
      <c r="F68" s="66" t="s">
        <v>259</v>
      </c>
      <c r="G68" s="67" t="s">
        <v>382</v>
      </c>
      <c r="H68" s="67" t="s">
        <v>104</v>
      </c>
      <c r="J68">
        <v>252</v>
      </c>
      <c r="K68" t="s">
        <v>500</v>
      </c>
      <c r="L68" t="s">
        <v>142</v>
      </c>
      <c r="M68" t="s">
        <v>460</v>
      </c>
      <c r="N68" t="s">
        <v>460</v>
      </c>
      <c r="O68" t="s">
        <v>529</v>
      </c>
      <c r="P68" t="s">
        <v>472</v>
      </c>
      <c r="Q68" t="s">
        <v>307</v>
      </c>
      <c r="R68" t="s">
        <v>305</v>
      </c>
      <c r="S68" t="s">
        <v>479</v>
      </c>
      <c r="T68" t="s">
        <v>480</v>
      </c>
      <c r="U68" t="s">
        <v>492</v>
      </c>
      <c r="V68">
        <f>IFERROR(VLOOKUP(Rotas_Geral[[#This Row],[Nome Loja]],#REF!,3,0),0)</f>
        <v>0</v>
      </c>
      <c r="W68">
        <f>IFERROR(VLOOKUP(Rotas_Geral[[#This Row],[Nome Loja]],#REF!,4,0),0)</f>
        <v>0</v>
      </c>
      <c r="X68">
        <f>IFERROR(VLOOKUP(Rotas_Geral[[#This Row],[Nome Loja]],#REF!,3,0),0)</f>
        <v>0</v>
      </c>
      <c r="Y68">
        <f>IFERROR(VLOOKUP(Rotas_Geral[[#This Row],[Nome Loja]],#REF!,4,0),0)</f>
        <v>0</v>
      </c>
    </row>
    <row r="69" spans="1:25" ht="15.6" x14ac:dyDescent="0.3">
      <c r="A69" s="65">
        <v>20831</v>
      </c>
      <c r="B69" s="65">
        <v>430</v>
      </c>
      <c r="C69" s="65" t="s">
        <v>281</v>
      </c>
      <c r="D69" s="65" t="s">
        <v>282</v>
      </c>
      <c r="E69" s="66" t="s">
        <v>90</v>
      </c>
      <c r="F69" s="66" t="s">
        <v>259</v>
      </c>
      <c r="G69" s="67" t="s">
        <v>382</v>
      </c>
      <c r="H69" s="67" t="s">
        <v>104</v>
      </c>
      <c r="J69">
        <v>253</v>
      </c>
      <c r="K69" t="s">
        <v>264</v>
      </c>
      <c r="L69" t="s">
        <v>264</v>
      </c>
      <c r="M69" t="s">
        <v>78</v>
      </c>
      <c r="N69" t="s">
        <v>78</v>
      </c>
      <c r="O69" t="s">
        <v>529</v>
      </c>
      <c r="P69" t="s">
        <v>223</v>
      </c>
      <c r="Q69" t="s">
        <v>307</v>
      </c>
      <c r="R69" t="s">
        <v>368</v>
      </c>
      <c r="S69" t="s">
        <v>479</v>
      </c>
      <c r="T69" t="s">
        <v>480</v>
      </c>
      <c r="U69" t="s">
        <v>492</v>
      </c>
      <c r="V69">
        <f>IFERROR(VLOOKUP(Rotas_Geral[[#This Row],[Nome Loja]],#REF!,3,0),0)</f>
        <v>0</v>
      </c>
      <c r="W69">
        <f>IFERROR(VLOOKUP(Rotas_Geral[[#This Row],[Nome Loja]],#REF!,4,0),0)</f>
        <v>0</v>
      </c>
      <c r="X69">
        <f>IFERROR(VLOOKUP(Rotas_Geral[[#This Row],[Nome Loja]],#REF!,3,0),0)</f>
        <v>0</v>
      </c>
      <c r="Y69">
        <f>IFERROR(VLOOKUP(Rotas_Geral[[#This Row],[Nome Loja]],#REF!,4,0),0)</f>
        <v>0</v>
      </c>
    </row>
    <row r="70" spans="1:25" ht="15.6" x14ac:dyDescent="0.3">
      <c r="A70" s="65">
        <v>19322</v>
      </c>
      <c r="B70" s="65">
        <v>426</v>
      </c>
      <c r="C70" s="65" t="s">
        <v>279</v>
      </c>
      <c r="D70" s="65" t="s">
        <v>280</v>
      </c>
      <c r="E70" s="66" t="s">
        <v>90</v>
      </c>
      <c r="F70" s="66" t="s">
        <v>259</v>
      </c>
      <c r="G70" s="67" t="s">
        <v>382</v>
      </c>
      <c r="H70" s="67" t="s">
        <v>104</v>
      </c>
      <c r="J70">
        <v>254</v>
      </c>
      <c r="K70" t="s">
        <v>277</v>
      </c>
      <c r="L70" t="s">
        <v>278</v>
      </c>
      <c r="M70" t="s">
        <v>90</v>
      </c>
      <c r="N70" t="s">
        <v>517</v>
      </c>
      <c r="O70" t="s">
        <v>529</v>
      </c>
      <c r="P70" t="s">
        <v>223</v>
      </c>
      <c r="Q70" t="s">
        <v>307</v>
      </c>
      <c r="R70" t="s">
        <v>485</v>
      </c>
      <c r="S70" t="s">
        <v>493</v>
      </c>
      <c r="T70" t="s">
        <v>480</v>
      </c>
      <c r="U70" t="s">
        <v>486</v>
      </c>
      <c r="V70">
        <f>IFERROR(VLOOKUP(Rotas_Geral[[#This Row],[Nome Loja]],#REF!,3,0),0)</f>
        <v>0</v>
      </c>
      <c r="W70">
        <f>IFERROR(VLOOKUP(Rotas_Geral[[#This Row],[Nome Loja]],#REF!,4,0),0)</f>
        <v>0</v>
      </c>
      <c r="X70">
        <f>IFERROR(VLOOKUP(Rotas_Geral[[#This Row],[Nome Loja]],#REF!,3,0),0)</f>
        <v>0</v>
      </c>
      <c r="Y70">
        <f>IFERROR(VLOOKUP(Rotas_Geral[[#This Row],[Nome Loja]],#REF!,4,0),0)</f>
        <v>0</v>
      </c>
    </row>
    <row r="71" spans="1:25" ht="15.6" x14ac:dyDescent="0.3">
      <c r="A71" s="65">
        <v>20799</v>
      </c>
      <c r="B71" s="65">
        <v>423</v>
      </c>
      <c r="C71" s="65" t="s">
        <v>269</v>
      </c>
      <c r="D71" s="65" t="s">
        <v>270</v>
      </c>
      <c r="E71" s="66" t="s">
        <v>90</v>
      </c>
      <c r="F71" s="66" t="s">
        <v>259</v>
      </c>
      <c r="G71" s="67" t="s">
        <v>382</v>
      </c>
      <c r="H71" s="67" t="s">
        <v>104</v>
      </c>
      <c r="J71">
        <v>255</v>
      </c>
      <c r="K71" t="s">
        <v>112</v>
      </c>
      <c r="L71" t="s">
        <v>113</v>
      </c>
      <c r="M71" t="s">
        <v>90</v>
      </c>
      <c r="N71" t="s">
        <v>334</v>
      </c>
      <c r="O71" t="s">
        <v>529</v>
      </c>
      <c r="P71" t="s">
        <v>109</v>
      </c>
      <c r="Q71" t="s">
        <v>307</v>
      </c>
      <c r="R71" t="s">
        <v>305</v>
      </c>
      <c r="S71" t="s">
        <v>493</v>
      </c>
      <c r="T71" t="s">
        <v>480</v>
      </c>
      <c r="U71" t="s">
        <v>492</v>
      </c>
      <c r="V71">
        <f>IFERROR(VLOOKUP(Rotas_Geral[[#This Row],[Nome Loja]],#REF!,3,0),0)</f>
        <v>0</v>
      </c>
      <c r="W71">
        <f>IFERROR(VLOOKUP(Rotas_Geral[[#This Row],[Nome Loja]],#REF!,4,0),0)</f>
        <v>0</v>
      </c>
      <c r="X71">
        <f>IFERROR(VLOOKUP(Rotas_Geral[[#This Row],[Nome Loja]],#REF!,3,0),0)</f>
        <v>0</v>
      </c>
      <c r="Y71">
        <f>IFERROR(VLOOKUP(Rotas_Geral[[#This Row],[Nome Loja]],#REF!,4,0),0)</f>
        <v>0</v>
      </c>
    </row>
    <row r="72" spans="1:25" ht="15.6" x14ac:dyDescent="0.3">
      <c r="A72" s="65">
        <v>20035</v>
      </c>
      <c r="B72" s="65">
        <v>208</v>
      </c>
      <c r="C72" s="65" t="s">
        <v>387</v>
      </c>
      <c r="D72" s="65" t="s">
        <v>387</v>
      </c>
      <c r="E72" s="66" t="s">
        <v>90</v>
      </c>
      <c r="F72" s="66" t="s">
        <v>259</v>
      </c>
      <c r="G72" s="67" t="s">
        <v>382</v>
      </c>
      <c r="H72" s="67" t="s">
        <v>104</v>
      </c>
      <c r="J72">
        <v>256</v>
      </c>
      <c r="K72" t="s">
        <v>286</v>
      </c>
      <c r="L72" t="s">
        <v>287</v>
      </c>
      <c r="M72" t="s">
        <v>90</v>
      </c>
      <c r="N72" t="s">
        <v>90</v>
      </c>
      <c r="O72" t="s">
        <v>529</v>
      </c>
      <c r="P72" t="s">
        <v>223</v>
      </c>
      <c r="Q72" t="s">
        <v>307</v>
      </c>
      <c r="R72" t="s">
        <v>368</v>
      </c>
      <c r="S72" t="s">
        <v>493</v>
      </c>
      <c r="T72" t="s">
        <v>480</v>
      </c>
      <c r="U72" t="s">
        <v>486</v>
      </c>
      <c r="V72">
        <f>IFERROR(VLOOKUP(Rotas_Geral[[#This Row],[Nome Loja]],#REF!,3,0),0)</f>
        <v>0</v>
      </c>
      <c r="W72">
        <f>IFERROR(VLOOKUP(Rotas_Geral[[#This Row],[Nome Loja]],#REF!,4,0),0)</f>
        <v>0</v>
      </c>
      <c r="X72">
        <f>IFERROR(VLOOKUP(Rotas_Geral[[#This Row],[Nome Loja]],#REF!,3,0),0)</f>
        <v>0</v>
      </c>
      <c r="Y72">
        <f>IFERROR(VLOOKUP(Rotas_Geral[[#This Row],[Nome Loja]],#REF!,4,0),0)</f>
        <v>0</v>
      </c>
    </row>
    <row r="73" spans="1:25" ht="15.6" x14ac:dyDescent="0.3">
      <c r="A73" s="65" t="e">
        <v>#N/A</v>
      </c>
      <c r="B73" s="65">
        <v>400</v>
      </c>
      <c r="C73" s="65" t="s">
        <v>404</v>
      </c>
      <c r="D73" s="65" t="s">
        <v>404</v>
      </c>
      <c r="E73" s="66" t="s">
        <v>391</v>
      </c>
      <c r="F73" s="66" t="s">
        <v>391</v>
      </c>
      <c r="G73" s="67" t="s">
        <v>382</v>
      </c>
      <c r="H73" s="67" t="s">
        <v>104</v>
      </c>
      <c r="J73">
        <v>257</v>
      </c>
      <c r="K73" t="s">
        <v>265</v>
      </c>
      <c r="L73" t="s">
        <v>266</v>
      </c>
      <c r="M73" t="s">
        <v>85</v>
      </c>
      <c r="N73" t="s">
        <v>78</v>
      </c>
      <c r="O73" t="s">
        <v>529</v>
      </c>
      <c r="P73" t="s">
        <v>223</v>
      </c>
      <c r="Q73" t="s">
        <v>307</v>
      </c>
      <c r="R73" t="s">
        <v>368</v>
      </c>
      <c r="S73" t="s">
        <v>479</v>
      </c>
      <c r="T73" t="s">
        <v>480</v>
      </c>
      <c r="U73" t="s">
        <v>486</v>
      </c>
      <c r="V73">
        <f>IFERROR(VLOOKUP(Rotas_Geral[[#This Row],[Nome Loja]],#REF!,3,0),0)</f>
        <v>0</v>
      </c>
      <c r="W73">
        <f>IFERROR(VLOOKUP(Rotas_Geral[[#This Row],[Nome Loja]],#REF!,4,0),0)</f>
        <v>0</v>
      </c>
      <c r="X73">
        <f>IFERROR(VLOOKUP(Rotas_Geral[[#This Row],[Nome Loja]],#REF!,3,0),0)</f>
        <v>0</v>
      </c>
      <c r="Y73">
        <f>IFERROR(VLOOKUP(Rotas_Geral[[#This Row],[Nome Loja]],#REF!,4,0),0)</f>
        <v>0</v>
      </c>
    </row>
    <row r="74" spans="1:25" ht="15.6" x14ac:dyDescent="0.3">
      <c r="A74" s="65" t="e">
        <v>#N/A</v>
      </c>
      <c r="B74" s="65">
        <v>24</v>
      </c>
      <c r="C74" s="65" t="s">
        <v>273</v>
      </c>
      <c r="D74" s="65" t="s">
        <v>273</v>
      </c>
      <c r="E74" s="66" t="s">
        <v>90</v>
      </c>
      <c r="F74" s="66" t="s">
        <v>259</v>
      </c>
      <c r="G74" s="67" t="s">
        <v>382</v>
      </c>
      <c r="H74" s="67" t="s">
        <v>104</v>
      </c>
      <c r="J74">
        <v>259</v>
      </c>
      <c r="K74" t="s">
        <v>200</v>
      </c>
      <c r="L74" t="s">
        <v>201</v>
      </c>
      <c r="M74" t="s">
        <v>90</v>
      </c>
      <c r="N74" t="s">
        <v>299</v>
      </c>
      <c r="O74" t="s">
        <v>529</v>
      </c>
      <c r="P74" t="s">
        <v>109</v>
      </c>
      <c r="Q74" t="s">
        <v>307</v>
      </c>
      <c r="R74" t="s">
        <v>305</v>
      </c>
      <c r="S74" t="s">
        <v>493</v>
      </c>
      <c r="T74" t="s">
        <v>480</v>
      </c>
      <c r="U74" t="s">
        <v>492</v>
      </c>
      <c r="V74">
        <f>IFERROR(VLOOKUP(Rotas_Geral[[#This Row],[Nome Loja]],#REF!,3,0),0)</f>
        <v>0</v>
      </c>
      <c r="W74">
        <f>IFERROR(VLOOKUP(Rotas_Geral[[#This Row],[Nome Loja]],#REF!,4,0),0)</f>
        <v>0</v>
      </c>
      <c r="X74">
        <f>IFERROR(VLOOKUP(Rotas_Geral[[#This Row],[Nome Loja]],#REF!,3,0),0)</f>
        <v>0</v>
      </c>
      <c r="Y74">
        <f>IFERROR(VLOOKUP(Rotas_Geral[[#This Row],[Nome Loja]],#REF!,4,0),0)</f>
        <v>0</v>
      </c>
    </row>
    <row r="75" spans="1:25" ht="15.6" x14ac:dyDescent="0.3">
      <c r="A75" s="65">
        <v>14468</v>
      </c>
      <c r="B75" s="65">
        <v>260</v>
      </c>
      <c r="C75" s="65" t="s">
        <v>306</v>
      </c>
      <c r="D75" s="65" t="s">
        <v>302</v>
      </c>
      <c r="E75" s="66" t="s">
        <v>90</v>
      </c>
      <c r="F75" s="66" t="s">
        <v>246</v>
      </c>
      <c r="G75" s="67" t="s">
        <v>382</v>
      </c>
      <c r="H75" s="67" t="s">
        <v>104</v>
      </c>
      <c r="J75">
        <v>260</v>
      </c>
      <c r="K75" t="s">
        <v>306</v>
      </c>
      <c r="L75" t="s">
        <v>302</v>
      </c>
      <c r="M75" t="s">
        <v>90</v>
      </c>
      <c r="N75" t="s">
        <v>90</v>
      </c>
      <c r="O75" t="s">
        <v>529</v>
      </c>
      <c r="P75" t="s">
        <v>223</v>
      </c>
      <c r="Q75" t="s">
        <v>307</v>
      </c>
      <c r="R75" t="s">
        <v>485</v>
      </c>
      <c r="S75" t="s">
        <v>493</v>
      </c>
      <c r="T75" t="s">
        <v>480</v>
      </c>
      <c r="U75" t="s">
        <v>486</v>
      </c>
      <c r="V75">
        <f>IFERROR(VLOOKUP(Rotas_Geral[[#This Row],[Nome Loja]],#REF!,3,0),0)</f>
        <v>0</v>
      </c>
      <c r="W75">
        <f>IFERROR(VLOOKUP(Rotas_Geral[[#This Row],[Nome Loja]],#REF!,4,0),0)</f>
        <v>0</v>
      </c>
      <c r="X75">
        <f>IFERROR(VLOOKUP(Rotas_Geral[[#This Row],[Nome Loja]],#REF!,3,0),0)</f>
        <v>0</v>
      </c>
      <c r="Y75">
        <f>IFERROR(VLOOKUP(Rotas_Geral[[#This Row],[Nome Loja]],#REF!,4,0),0)</f>
        <v>0</v>
      </c>
    </row>
    <row r="76" spans="1:25" ht="15.6" x14ac:dyDescent="0.3">
      <c r="A76" s="65" t="e">
        <v>#N/A</v>
      </c>
      <c r="B76" s="65">
        <v>254</v>
      </c>
      <c r="C76" s="65" t="s">
        <v>277</v>
      </c>
      <c r="D76" s="65" t="s">
        <v>278</v>
      </c>
      <c r="E76" s="66" t="s">
        <v>397</v>
      </c>
      <c r="F76" s="66" t="s">
        <v>259</v>
      </c>
      <c r="G76" s="67" t="s">
        <v>382</v>
      </c>
      <c r="H76" s="67" t="s">
        <v>104</v>
      </c>
      <c r="J76">
        <v>261</v>
      </c>
      <c r="K76" t="s">
        <v>293</v>
      </c>
      <c r="L76" t="s">
        <v>293</v>
      </c>
      <c r="M76" t="s">
        <v>90</v>
      </c>
      <c r="N76" t="s">
        <v>90</v>
      </c>
      <c r="O76" t="s">
        <v>529</v>
      </c>
      <c r="P76" t="s">
        <v>223</v>
      </c>
      <c r="Q76" t="s">
        <v>307</v>
      </c>
      <c r="R76" t="s">
        <v>485</v>
      </c>
      <c r="S76" t="s">
        <v>493</v>
      </c>
      <c r="T76" t="s">
        <v>480</v>
      </c>
      <c r="U76" t="s">
        <v>486</v>
      </c>
      <c r="V76">
        <f>IFERROR(VLOOKUP(Rotas_Geral[[#This Row],[Nome Loja]],#REF!,3,0),0)</f>
        <v>0</v>
      </c>
      <c r="W76">
        <f>IFERROR(VLOOKUP(Rotas_Geral[[#This Row],[Nome Loja]],#REF!,4,0),0)</f>
        <v>0</v>
      </c>
      <c r="X76">
        <f>IFERROR(VLOOKUP(Rotas_Geral[[#This Row],[Nome Loja]],#REF!,3,0),0)</f>
        <v>0</v>
      </c>
      <c r="Y76">
        <f>IFERROR(VLOOKUP(Rotas_Geral[[#This Row],[Nome Loja]],#REF!,4,0),0)</f>
        <v>0</v>
      </c>
    </row>
    <row r="77" spans="1:25" ht="15.6" x14ac:dyDescent="0.3">
      <c r="A77" s="65" t="e">
        <v>#N/A</v>
      </c>
      <c r="B77" s="65">
        <v>26</v>
      </c>
      <c r="C77" s="65" t="s">
        <v>275</v>
      </c>
      <c r="D77" s="65" t="s">
        <v>275</v>
      </c>
      <c r="E77" s="66" t="s">
        <v>90</v>
      </c>
      <c r="F77" s="66" t="s">
        <v>259</v>
      </c>
      <c r="G77" s="67" t="s">
        <v>382</v>
      </c>
      <c r="H77" s="67" t="s">
        <v>104</v>
      </c>
      <c r="J77">
        <v>263</v>
      </c>
      <c r="K77" t="s">
        <v>366</v>
      </c>
      <c r="L77" t="s">
        <v>366</v>
      </c>
      <c r="M77" t="s">
        <v>85</v>
      </c>
      <c r="N77" t="s">
        <v>514</v>
      </c>
      <c r="O77" t="s">
        <v>529</v>
      </c>
      <c r="P77" t="s">
        <v>223</v>
      </c>
      <c r="Q77" t="s">
        <v>307</v>
      </c>
      <c r="R77" t="s">
        <v>368</v>
      </c>
      <c r="S77" t="s">
        <v>479</v>
      </c>
      <c r="T77" t="s">
        <v>480</v>
      </c>
      <c r="U77" t="s">
        <v>486</v>
      </c>
      <c r="V77">
        <f>IFERROR(VLOOKUP(Rotas_Geral[[#This Row],[Nome Loja]],#REF!,3,0),0)</f>
        <v>0</v>
      </c>
      <c r="W77">
        <f>IFERROR(VLOOKUP(Rotas_Geral[[#This Row],[Nome Loja]],#REF!,4,0),0)</f>
        <v>0</v>
      </c>
      <c r="X77">
        <f>IFERROR(VLOOKUP(Rotas_Geral[[#This Row],[Nome Loja]],#REF!,3,0),0)</f>
        <v>0</v>
      </c>
      <c r="Y77">
        <f>IFERROR(VLOOKUP(Rotas_Geral[[#This Row],[Nome Loja]],#REF!,4,0),0)</f>
        <v>0</v>
      </c>
    </row>
    <row r="78" spans="1:25" ht="15.6" x14ac:dyDescent="0.3">
      <c r="A78" s="65">
        <v>449</v>
      </c>
      <c r="B78" s="65">
        <v>261</v>
      </c>
      <c r="C78" s="65" t="s">
        <v>293</v>
      </c>
      <c r="D78" s="65" t="s">
        <v>293</v>
      </c>
      <c r="E78" s="66" t="s">
        <v>90</v>
      </c>
      <c r="F78" s="66" t="s">
        <v>259</v>
      </c>
      <c r="G78" s="67" t="s">
        <v>382</v>
      </c>
      <c r="H78" s="67" t="s">
        <v>104</v>
      </c>
      <c r="J78">
        <v>264</v>
      </c>
      <c r="K78" t="s">
        <v>303</v>
      </c>
      <c r="L78" t="s">
        <v>304</v>
      </c>
      <c r="M78" t="s">
        <v>518</v>
      </c>
      <c r="N78" t="s">
        <v>518</v>
      </c>
      <c r="O78" t="s">
        <v>529</v>
      </c>
      <c r="P78" t="s">
        <v>391</v>
      </c>
      <c r="Q78" t="s">
        <v>391</v>
      </c>
      <c r="R78" t="s">
        <v>305</v>
      </c>
      <c r="S78" t="s">
        <v>479</v>
      </c>
      <c r="T78" t="s">
        <v>480</v>
      </c>
      <c r="U78" t="s">
        <v>486</v>
      </c>
      <c r="V78">
        <f>IFERROR(VLOOKUP(Rotas_Geral[[#This Row],[Nome Loja]],#REF!,3,0),0)</f>
        <v>0</v>
      </c>
      <c r="W78">
        <f>IFERROR(VLOOKUP(Rotas_Geral[[#This Row],[Nome Loja]],#REF!,4,0),0)</f>
        <v>0</v>
      </c>
      <c r="X78">
        <f>IFERROR(VLOOKUP(Rotas_Geral[[#This Row],[Nome Loja]],#REF!,3,0),0)</f>
        <v>0</v>
      </c>
      <c r="Y78">
        <f>IFERROR(VLOOKUP(Rotas_Geral[[#This Row],[Nome Loja]],#REF!,4,0),0)</f>
        <v>0</v>
      </c>
    </row>
    <row r="79" spans="1:25" ht="15.6" x14ac:dyDescent="0.3">
      <c r="A79" s="65" t="e">
        <v>#N/A</v>
      </c>
      <c r="B79" s="65">
        <v>25</v>
      </c>
      <c r="C79" s="65" t="s">
        <v>274</v>
      </c>
      <c r="D79" s="65" t="s">
        <v>274</v>
      </c>
      <c r="E79" s="66" t="s">
        <v>90</v>
      </c>
      <c r="F79" s="66" t="s">
        <v>259</v>
      </c>
      <c r="G79" s="67" t="s">
        <v>382</v>
      </c>
      <c r="H79" s="67" t="s">
        <v>104</v>
      </c>
      <c r="J79">
        <v>266</v>
      </c>
      <c r="K79" t="s">
        <v>369</v>
      </c>
      <c r="L79" t="s">
        <v>370</v>
      </c>
      <c r="M79" t="s">
        <v>424</v>
      </c>
      <c r="N79" t="s">
        <v>424</v>
      </c>
      <c r="O79" t="s">
        <v>529</v>
      </c>
      <c r="P79" t="s">
        <v>391</v>
      </c>
      <c r="Q79" t="s">
        <v>391</v>
      </c>
      <c r="R79" t="s">
        <v>305</v>
      </c>
      <c r="S79" t="s">
        <v>479</v>
      </c>
      <c r="T79" t="s">
        <v>480</v>
      </c>
      <c r="U79" t="s">
        <v>486</v>
      </c>
      <c r="V79">
        <f>IFERROR(VLOOKUP(Rotas_Geral[[#This Row],[Nome Loja]],#REF!,3,0),0)</f>
        <v>0</v>
      </c>
      <c r="W79">
        <f>IFERROR(VLOOKUP(Rotas_Geral[[#This Row],[Nome Loja]],#REF!,4,0),0)</f>
        <v>0</v>
      </c>
      <c r="X79">
        <f>IFERROR(VLOOKUP(Rotas_Geral[[#This Row],[Nome Loja]],#REF!,3,0),0)</f>
        <v>0</v>
      </c>
      <c r="Y79">
        <f>IFERROR(VLOOKUP(Rotas_Geral[[#This Row],[Nome Loja]],#REF!,4,0),0)</f>
        <v>0</v>
      </c>
    </row>
    <row r="80" spans="1:25" ht="15.6" x14ac:dyDescent="0.3">
      <c r="A80" s="65">
        <v>12553</v>
      </c>
      <c r="B80" s="65">
        <v>28</v>
      </c>
      <c r="C80" s="65" t="s">
        <v>276</v>
      </c>
      <c r="D80" s="65" t="s">
        <v>276</v>
      </c>
      <c r="E80" s="66" t="s">
        <v>397</v>
      </c>
      <c r="F80" s="66" t="s">
        <v>259</v>
      </c>
      <c r="G80" s="67" t="s">
        <v>382</v>
      </c>
      <c r="H80" s="67" t="s">
        <v>120</v>
      </c>
      <c r="J80">
        <v>267</v>
      </c>
      <c r="K80" t="s">
        <v>389</v>
      </c>
      <c r="L80" t="s">
        <v>389</v>
      </c>
      <c r="M80" t="s">
        <v>90</v>
      </c>
      <c r="N80" t="s">
        <v>90</v>
      </c>
      <c r="O80" t="s">
        <v>529</v>
      </c>
      <c r="P80" t="s">
        <v>223</v>
      </c>
      <c r="Q80" t="s">
        <v>307</v>
      </c>
      <c r="R80" t="s">
        <v>368</v>
      </c>
      <c r="S80" t="s">
        <v>493</v>
      </c>
      <c r="T80" t="s">
        <v>480</v>
      </c>
      <c r="U80" t="s">
        <v>486</v>
      </c>
      <c r="V80">
        <f>IFERROR(VLOOKUP(Rotas_Geral[[#This Row],[Nome Loja]],#REF!,3,0),0)</f>
        <v>0</v>
      </c>
      <c r="W80">
        <f>IFERROR(VLOOKUP(Rotas_Geral[[#This Row],[Nome Loja]],#REF!,4,0),0)</f>
        <v>0</v>
      </c>
      <c r="X80">
        <f>IFERROR(VLOOKUP(Rotas_Geral[[#This Row],[Nome Loja]],#REF!,3,0),0)</f>
        <v>0</v>
      </c>
      <c r="Y80">
        <f>IFERROR(VLOOKUP(Rotas_Geral[[#This Row],[Nome Loja]],#REF!,4,0),0)</f>
        <v>0</v>
      </c>
    </row>
    <row r="81" spans="1:25" ht="15.6" x14ac:dyDescent="0.3">
      <c r="A81" s="65">
        <v>15591</v>
      </c>
      <c r="B81" s="65">
        <v>466</v>
      </c>
      <c r="C81" s="65" t="s">
        <v>409</v>
      </c>
      <c r="D81" s="65" t="s">
        <v>409</v>
      </c>
      <c r="E81" s="66" t="s">
        <v>90</v>
      </c>
      <c r="F81" s="66" t="s">
        <v>259</v>
      </c>
      <c r="G81" s="67" t="s">
        <v>382</v>
      </c>
      <c r="H81" s="67" t="s">
        <v>120</v>
      </c>
      <c r="J81">
        <v>268</v>
      </c>
      <c r="K81" t="s">
        <v>390</v>
      </c>
      <c r="L81" t="s">
        <v>390</v>
      </c>
      <c r="M81" t="s">
        <v>90</v>
      </c>
      <c r="N81" t="s">
        <v>90</v>
      </c>
      <c r="O81" t="s">
        <v>529</v>
      </c>
      <c r="P81" t="s">
        <v>223</v>
      </c>
      <c r="Q81" t="s">
        <v>307</v>
      </c>
      <c r="R81" t="s">
        <v>368</v>
      </c>
      <c r="S81" t="s">
        <v>493</v>
      </c>
      <c r="T81" t="s">
        <v>480</v>
      </c>
      <c r="U81" t="s">
        <v>486</v>
      </c>
      <c r="V81">
        <f>IFERROR(VLOOKUP(Rotas_Geral[[#This Row],[Nome Loja]],#REF!,3,0),0)</f>
        <v>0</v>
      </c>
      <c r="W81">
        <f>IFERROR(VLOOKUP(Rotas_Geral[[#This Row],[Nome Loja]],#REF!,4,0),0)</f>
        <v>0</v>
      </c>
      <c r="X81">
        <f>IFERROR(VLOOKUP(Rotas_Geral[[#This Row],[Nome Loja]],#REF!,3,0),0)</f>
        <v>0</v>
      </c>
      <c r="Y81">
        <f>IFERROR(VLOOKUP(Rotas_Geral[[#This Row],[Nome Loja]],#REF!,4,0),0)</f>
        <v>0</v>
      </c>
    </row>
    <row r="82" spans="1:25" ht="15.6" x14ac:dyDescent="0.3">
      <c r="A82" s="65">
        <v>15738</v>
      </c>
      <c r="B82" s="65">
        <v>41</v>
      </c>
      <c r="C82" s="65" t="s">
        <v>124</v>
      </c>
      <c r="D82" s="65" t="s">
        <v>125</v>
      </c>
      <c r="E82" s="66" t="s">
        <v>59</v>
      </c>
      <c r="F82" s="66" t="s">
        <v>119</v>
      </c>
      <c r="G82" s="67" t="s">
        <v>382</v>
      </c>
      <c r="H82" s="67" t="s">
        <v>120</v>
      </c>
      <c r="J82">
        <v>269</v>
      </c>
      <c r="K82" t="s">
        <v>401</v>
      </c>
      <c r="L82" t="s">
        <v>402</v>
      </c>
      <c r="M82" t="s">
        <v>90</v>
      </c>
      <c r="N82" t="s">
        <v>515</v>
      </c>
      <c r="O82" t="s">
        <v>529</v>
      </c>
      <c r="P82" t="s">
        <v>109</v>
      </c>
      <c r="Q82" t="s">
        <v>307</v>
      </c>
      <c r="R82" t="s">
        <v>305</v>
      </c>
      <c r="S82" t="s">
        <v>493</v>
      </c>
      <c r="T82" t="s">
        <v>480</v>
      </c>
      <c r="U82" t="s">
        <v>492</v>
      </c>
      <c r="V82">
        <f>IFERROR(VLOOKUP(Rotas_Geral[[#This Row],[Nome Loja]],#REF!,3,0),0)</f>
        <v>0</v>
      </c>
      <c r="W82">
        <f>IFERROR(VLOOKUP(Rotas_Geral[[#This Row],[Nome Loja]],#REF!,4,0),0)</f>
        <v>0</v>
      </c>
      <c r="X82">
        <f>IFERROR(VLOOKUP(Rotas_Geral[[#This Row],[Nome Loja]],#REF!,3,0),0)</f>
        <v>0</v>
      </c>
      <c r="Y82">
        <f>IFERROR(VLOOKUP(Rotas_Geral[[#This Row],[Nome Loja]],#REF!,4,0),0)</f>
        <v>0</v>
      </c>
    </row>
    <row r="83" spans="1:25" ht="15.6" x14ac:dyDescent="0.3">
      <c r="A83" s="65">
        <v>16917</v>
      </c>
      <c r="B83" s="65">
        <v>97</v>
      </c>
      <c r="C83" s="65" t="s">
        <v>285</v>
      </c>
      <c r="D83" s="65" t="s">
        <v>285</v>
      </c>
      <c r="E83" s="66" t="s">
        <v>72</v>
      </c>
      <c r="F83" s="66" t="s">
        <v>119</v>
      </c>
      <c r="G83" s="67" t="s">
        <v>382</v>
      </c>
      <c r="H83" s="67" t="s">
        <v>120</v>
      </c>
      <c r="J83">
        <v>271</v>
      </c>
      <c r="K83" t="s">
        <v>367</v>
      </c>
      <c r="L83" t="s">
        <v>367</v>
      </c>
      <c r="M83" t="s">
        <v>90</v>
      </c>
      <c r="N83" t="s">
        <v>355</v>
      </c>
      <c r="O83" t="s">
        <v>529</v>
      </c>
      <c r="P83" t="s">
        <v>472</v>
      </c>
      <c r="Q83" t="s">
        <v>307</v>
      </c>
      <c r="R83" t="s">
        <v>305</v>
      </c>
      <c r="S83" t="s">
        <v>479</v>
      </c>
      <c r="T83" t="s">
        <v>480</v>
      </c>
      <c r="U83" t="s">
        <v>486</v>
      </c>
      <c r="V83">
        <f>IFERROR(VLOOKUP(Rotas_Geral[[#This Row],[Nome Loja]],#REF!,3,0),0)</f>
        <v>0</v>
      </c>
      <c r="W83">
        <f>IFERROR(VLOOKUP(Rotas_Geral[[#This Row],[Nome Loja]],#REF!,4,0),0)</f>
        <v>0</v>
      </c>
      <c r="X83">
        <f>IFERROR(VLOOKUP(Rotas_Geral[[#This Row],[Nome Loja]],#REF!,3,0),0)</f>
        <v>0</v>
      </c>
      <c r="Y83">
        <f>IFERROR(VLOOKUP(Rotas_Geral[[#This Row],[Nome Loja]],#REF!,4,0),0)</f>
        <v>0</v>
      </c>
    </row>
    <row r="84" spans="1:25" ht="15.6" x14ac:dyDescent="0.3">
      <c r="A84" s="65">
        <v>20538</v>
      </c>
      <c r="B84" s="65">
        <v>202</v>
      </c>
      <c r="C84" s="65" t="s">
        <v>137</v>
      </c>
      <c r="D84" s="65" t="s">
        <v>138</v>
      </c>
      <c r="E84" s="66" t="s">
        <v>392</v>
      </c>
      <c r="F84" s="66" t="s">
        <v>116</v>
      </c>
      <c r="G84" s="67" t="s">
        <v>382</v>
      </c>
      <c r="H84" s="67" t="s">
        <v>120</v>
      </c>
      <c r="J84">
        <v>275</v>
      </c>
      <c r="K84" t="s">
        <v>498</v>
      </c>
      <c r="L84" t="s">
        <v>403</v>
      </c>
      <c r="M84" t="s">
        <v>460</v>
      </c>
      <c r="N84" t="s">
        <v>460</v>
      </c>
      <c r="O84" t="s">
        <v>529</v>
      </c>
      <c r="P84" t="s">
        <v>472</v>
      </c>
      <c r="Q84" t="s">
        <v>307</v>
      </c>
      <c r="R84" t="s">
        <v>305</v>
      </c>
      <c r="S84" t="s">
        <v>479</v>
      </c>
      <c r="T84" t="s">
        <v>480</v>
      </c>
      <c r="U84" t="s">
        <v>492</v>
      </c>
      <c r="V84">
        <f>IFERROR(VLOOKUP(Rotas_Geral[[#This Row],[Nome Loja]],#REF!,3,0),0)</f>
        <v>0</v>
      </c>
      <c r="W84">
        <f>IFERROR(VLOOKUP(Rotas_Geral[[#This Row],[Nome Loja]],#REF!,4,0),0)</f>
        <v>0</v>
      </c>
      <c r="X84">
        <f>IFERROR(VLOOKUP(Rotas_Geral[[#This Row],[Nome Loja]],#REF!,3,0),0)</f>
        <v>0</v>
      </c>
      <c r="Y84">
        <f>IFERROR(VLOOKUP(Rotas_Geral[[#This Row],[Nome Loja]],#REF!,4,0),0)</f>
        <v>0</v>
      </c>
    </row>
    <row r="85" spans="1:25" ht="15.6" x14ac:dyDescent="0.3">
      <c r="A85" s="65">
        <v>17048</v>
      </c>
      <c r="B85" s="65">
        <v>211</v>
      </c>
      <c r="C85" s="65" t="s">
        <v>371</v>
      </c>
      <c r="D85" s="65" t="s">
        <v>372</v>
      </c>
      <c r="E85" s="66" t="s">
        <v>393</v>
      </c>
      <c r="F85" s="66" t="s">
        <v>119</v>
      </c>
      <c r="G85" s="67" t="s">
        <v>382</v>
      </c>
      <c r="H85" s="67" t="s">
        <v>120</v>
      </c>
      <c r="J85">
        <v>276</v>
      </c>
      <c r="K85" t="s">
        <v>495</v>
      </c>
      <c r="L85" t="s">
        <v>496</v>
      </c>
      <c r="M85" t="s">
        <v>85</v>
      </c>
      <c r="N85" t="s">
        <v>78</v>
      </c>
      <c r="O85" t="s">
        <v>529</v>
      </c>
      <c r="P85" t="s">
        <v>223</v>
      </c>
      <c r="Q85" t="s">
        <v>307</v>
      </c>
      <c r="R85" t="s">
        <v>368</v>
      </c>
      <c r="S85" t="s">
        <v>479</v>
      </c>
      <c r="T85" t="s">
        <v>480</v>
      </c>
      <c r="U85" t="s">
        <v>492</v>
      </c>
      <c r="V85">
        <f>IFERROR(VLOOKUP(Rotas_Geral[[#This Row],[Nome Loja]],#REF!,3,0),0)</f>
        <v>0</v>
      </c>
      <c r="W85">
        <f>IFERROR(VLOOKUP(Rotas_Geral[[#This Row],[Nome Loja]],#REF!,4,0),0)</f>
        <v>0</v>
      </c>
      <c r="X85">
        <f>IFERROR(VLOOKUP(Rotas_Geral[[#This Row],[Nome Loja]],#REF!,3,0),0)</f>
        <v>0</v>
      </c>
      <c r="Y85">
        <f>IFERROR(VLOOKUP(Rotas_Geral[[#This Row],[Nome Loja]],#REF!,4,0),0)</f>
        <v>0</v>
      </c>
    </row>
    <row r="86" spans="1:25" ht="15.6" x14ac:dyDescent="0.3">
      <c r="A86" s="65">
        <v>15741</v>
      </c>
      <c r="B86" s="65">
        <v>32</v>
      </c>
      <c r="C86" s="65" t="s">
        <v>117</v>
      </c>
      <c r="D86" s="65" t="s">
        <v>118</v>
      </c>
      <c r="E86" s="66" t="s">
        <v>72</v>
      </c>
      <c r="F86" s="66" t="s">
        <v>119</v>
      </c>
      <c r="G86" s="67" t="s">
        <v>382</v>
      </c>
      <c r="H86" s="67" t="s">
        <v>120</v>
      </c>
      <c r="J86">
        <v>280</v>
      </c>
      <c r="K86" t="s">
        <v>419</v>
      </c>
      <c r="L86" t="s">
        <v>417</v>
      </c>
      <c r="M86" t="s">
        <v>519</v>
      </c>
      <c r="N86" t="s">
        <v>519</v>
      </c>
      <c r="O86" t="s">
        <v>529</v>
      </c>
      <c r="P86" t="s">
        <v>391</v>
      </c>
      <c r="Q86" t="s">
        <v>391</v>
      </c>
      <c r="R86" t="s">
        <v>491</v>
      </c>
      <c r="S86" t="s">
        <v>479</v>
      </c>
      <c r="T86" t="s">
        <v>480</v>
      </c>
      <c r="U86" t="s">
        <v>486</v>
      </c>
      <c r="V86">
        <f>IFERROR(VLOOKUP(Rotas_Geral[[#This Row],[Nome Loja]],#REF!,3,0),0)</f>
        <v>0</v>
      </c>
      <c r="W86">
        <f>IFERROR(VLOOKUP(Rotas_Geral[[#This Row],[Nome Loja]],#REF!,4,0),0)</f>
        <v>0</v>
      </c>
      <c r="X86">
        <f>IFERROR(VLOOKUP(Rotas_Geral[[#This Row],[Nome Loja]],#REF!,3,0),0)</f>
        <v>0</v>
      </c>
      <c r="Y86">
        <f>IFERROR(VLOOKUP(Rotas_Geral[[#This Row],[Nome Loja]],#REF!,4,0),0)</f>
        <v>0</v>
      </c>
    </row>
    <row r="87" spans="1:25" ht="15.6" x14ac:dyDescent="0.3">
      <c r="A87" s="65">
        <v>20189</v>
      </c>
      <c r="B87" s="65">
        <v>271</v>
      </c>
      <c r="C87" s="65" t="s">
        <v>367</v>
      </c>
      <c r="D87" s="65" t="s">
        <v>367</v>
      </c>
      <c r="E87" s="66" t="s">
        <v>355</v>
      </c>
      <c r="F87" s="66" t="s">
        <v>119</v>
      </c>
      <c r="G87" s="67" t="s">
        <v>382</v>
      </c>
      <c r="H87" s="67" t="s">
        <v>120</v>
      </c>
      <c r="J87">
        <v>285</v>
      </c>
      <c r="K87" t="s">
        <v>487</v>
      </c>
      <c r="L87" t="s">
        <v>487</v>
      </c>
      <c r="M87" t="s">
        <v>109</v>
      </c>
      <c r="N87" t="s">
        <v>109</v>
      </c>
      <c r="O87" t="s">
        <v>529</v>
      </c>
      <c r="P87" t="s">
        <v>391</v>
      </c>
      <c r="Q87" t="s">
        <v>391</v>
      </c>
      <c r="R87" t="s">
        <v>305</v>
      </c>
      <c r="S87" t="s">
        <v>479</v>
      </c>
      <c r="T87" t="s">
        <v>480</v>
      </c>
      <c r="U87" t="s">
        <v>486</v>
      </c>
      <c r="V87">
        <f>IFERROR(VLOOKUP(Rotas_Geral[[#This Row],[Nome Loja]],#REF!,3,0),0)</f>
        <v>0</v>
      </c>
      <c r="W87">
        <f>IFERROR(VLOOKUP(Rotas_Geral[[#This Row],[Nome Loja]],#REF!,4,0),0)</f>
        <v>0</v>
      </c>
      <c r="X87">
        <f>IFERROR(VLOOKUP(Rotas_Geral[[#This Row],[Nome Loja]],#REF!,3,0),0)</f>
        <v>0</v>
      </c>
      <c r="Y87">
        <f>IFERROR(VLOOKUP(Rotas_Geral[[#This Row],[Nome Loja]],#REF!,4,0),0)</f>
        <v>0</v>
      </c>
    </row>
    <row r="88" spans="1:25" ht="15.6" x14ac:dyDescent="0.3">
      <c r="A88" s="65">
        <v>1285</v>
      </c>
      <c r="B88" s="65">
        <v>251</v>
      </c>
      <c r="C88" s="65" t="s">
        <v>139</v>
      </c>
      <c r="D88" s="65" t="s">
        <v>140</v>
      </c>
      <c r="E88" s="66" t="s">
        <v>21</v>
      </c>
      <c r="F88" s="66" t="s">
        <v>119</v>
      </c>
      <c r="G88" s="67" t="s">
        <v>382</v>
      </c>
      <c r="H88" s="67" t="s">
        <v>109</v>
      </c>
      <c r="J88">
        <v>290</v>
      </c>
      <c r="K88" t="s">
        <v>489</v>
      </c>
      <c r="L88" t="s">
        <v>490</v>
      </c>
      <c r="M88" t="s">
        <v>520</v>
      </c>
      <c r="N88" t="s">
        <v>520</v>
      </c>
      <c r="O88" t="s">
        <v>529</v>
      </c>
      <c r="P88" t="s">
        <v>391</v>
      </c>
      <c r="Q88" t="s">
        <v>391</v>
      </c>
      <c r="R88" t="s">
        <v>305</v>
      </c>
      <c r="S88" t="s">
        <v>479</v>
      </c>
      <c r="T88" t="s">
        <v>480</v>
      </c>
      <c r="U88" t="s">
        <v>486</v>
      </c>
      <c r="V88">
        <f>IFERROR(VLOOKUP(Rotas_Geral[[#This Row],[Nome Loja]],#REF!,3,0),0)</f>
        <v>0</v>
      </c>
      <c r="W88">
        <f>IFERROR(VLOOKUP(Rotas_Geral[[#This Row],[Nome Loja]],#REF!,4,0),0)</f>
        <v>0</v>
      </c>
      <c r="X88">
        <f>IFERROR(VLOOKUP(Rotas_Geral[[#This Row],[Nome Loja]],#REF!,3,0),0)</f>
        <v>0</v>
      </c>
      <c r="Y88">
        <f>IFERROR(VLOOKUP(Rotas_Geral[[#This Row],[Nome Loja]],#REF!,4,0),0)</f>
        <v>0</v>
      </c>
    </row>
    <row r="89" spans="1:25" ht="15.6" x14ac:dyDescent="0.3">
      <c r="A89" s="65">
        <v>1290</v>
      </c>
      <c r="B89" s="65">
        <v>252</v>
      </c>
      <c r="C89" s="65" t="s">
        <v>141</v>
      </c>
      <c r="D89" s="65" t="s">
        <v>142</v>
      </c>
      <c r="E89" s="66" t="s">
        <v>385</v>
      </c>
      <c r="F89" s="66" t="s">
        <v>119</v>
      </c>
      <c r="G89" s="67" t="s">
        <v>382</v>
      </c>
      <c r="H89" s="67" t="s">
        <v>109</v>
      </c>
      <c r="J89">
        <v>296</v>
      </c>
      <c r="K89" t="s">
        <v>494</v>
      </c>
      <c r="L89" t="s">
        <v>494</v>
      </c>
      <c r="M89" t="s">
        <v>86</v>
      </c>
      <c r="N89" t="s">
        <v>86</v>
      </c>
      <c r="O89" t="s">
        <v>529</v>
      </c>
      <c r="P89" t="s">
        <v>223</v>
      </c>
      <c r="Q89" t="s">
        <v>307</v>
      </c>
      <c r="R89" t="s">
        <v>298</v>
      </c>
      <c r="S89" t="s">
        <v>479</v>
      </c>
      <c r="T89" t="s">
        <v>480</v>
      </c>
      <c r="U89" t="s">
        <v>486</v>
      </c>
      <c r="V89">
        <f>IFERROR(VLOOKUP(Rotas_Geral[[#This Row],[Nome Loja]],#REF!,3,0),0)</f>
        <v>0</v>
      </c>
      <c r="W89">
        <f>IFERROR(VLOOKUP(Rotas_Geral[[#This Row],[Nome Loja]],#REF!,4,0),0)</f>
        <v>0</v>
      </c>
      <c r="X89">
        <f>IFERROR(VLOOKUP(Rotas_Geral[[#This Row],[Nome Loja]],#REF!,3,0),0)</f>
        <v>0</v>
      </c>
      <c r="Y89">
        <f>IFERROR(VLOOKUP(Rotas_Geral[[#This Row],[Nome Loja]],#REF!,4,0),0)</f>
        <v>0</v>
      </c>
    </row>
    <row r="90" spans="1:25" ht="15.6" x14ac:dyDescent="0.3">
      <c r="A90" s="65">
        <v>1288</v>
      </c>
      <c r="B90" s="65">
        <v>275</v>
      </c>
      <c r="C90" s="65" t="s">
        <v>403</v>
      </c>
      <c r="D90" s="65" t="s">
        <v>403</v>
      </c>
      <c r="E90" s="66" t="s">
        <v>385</v>
      </c>
      <c r="F90" s="66" t="s">
        <v>119</v>
      </c>
      <c r="G90" s="67" t="s">
        <v>382</v>
      </c>
      <c r="H90" s="67" t="s">
        <v>109</v>
      </c>
      <c r="J90">
        <v>331</v>
      </c>
      <c r="K90" t="s">
        <v>481</v>
      </c>
      <c r="L90" t="s">
        <v>482</v>
      </c>
      <c r="M90" t="s">
        <v>90</v>
      </c>
      <c r="N90" t="s">
        <v>90</v>
      </c>
      <c r="O90" t="s">
        <v>529</v>
      </c>
      <c r="P90" t="s">
        <v>391</v>
      </c>
      <c r="Q90" t="s">
        <v>307</v>
      </c>
      <c r="R90" t="s">
        <v>482</v>
      </c>
      <c r="S90" t="s">
        <v>479</v>
      </c>
      <c r="T90" t="s">
        <v>483</v>
      </c>
      <c r="U90" t="s">
        <v>297</v>
      </c>
      <c r="V90">
        <f>IFERROR(VLOOKUP(Rotas_Geral[[#This Row],[Nome Loja]],#REF!,3,0),0)</f>
        <v>0</v>
      </c>
      <c r="W90">
        <f>IFERROR(VLOOKUP(Rotas_Geral[[#This Row],[Nome Loja]],#REF!,4,0),0)</f>
        <v>0</v>
      </c>
      <c r="X90">
        <f>IFERROR(VLOOKUP(Rotas_Geral[[#This Row],[Nome Loja]],#REF!,3,0),0)</f>
        <v>0</v>
      </c>
      <c r="Y90">
        <f>IFERROR(VLOOKUP(Rotas_Geral[[#This Row],[Nome Loja]],#REF!,4,0),0)</f>
        <v>0</v>
      </c>
    </row>
    <row r="91" spans="1:25" ht="15.6" x14ac:dyDescent="0.3">
      <c r="A91" s="65">
        <v>1280</v>
      </c>
      <c r="B91" s="65">
        <v>222</v>
      </c>
      <c r="C91" s="65" t="s">
        <v>196</v>
      </c>
      <c r="D91" s="65" t="s">
        <v>197</v>
      </c>
      <c r="E91" s="66" t="s">
        <v>60</v>
      </c>
      <c r="F91" s="66" t="s">
        <v>103</v>
      </c>
      <c r="G91" s="67" t="s">
        <v>382</v>
      </c>
      <c r="H91" s="67" t="s">
        <v>109</v>
      </c>
      <c r="J91">
        <v>337</v>
      </c>
      <c r="K91" t="s">
        <v>484</v>
      </c>
      <c r="L91" t="s">
        <v>485</v>
      </c>
      <c r="M91" t="s">
        <v>90</v>
      </c>
      <c r="N91" t="s">
        <v>90</v>
      </c>
      <c r="O91" t="s">
        <v>529</v>
      </c>
      <c r="P91" t="s">
        <v>223</v>
      </c>
      <c r="Q91" t="s">
        <v>307</v>
      </c>
      <c r="R91" t="s">
        <v>485</v>
      </c>
      <c r="S91" t="s">
        <v>479</v>
      </c>
      <c r="T91" t="s">
        <v>483</v>
      </c>
      <c r="U91" t="s">
        <v>297</v>
      </c>
      <c r="V91">
        <f>IFERROR(VLOOKUP(Rotas_Geral[[#This Row],[Nome Loja]],#REF!,3,0),0)</f>
        <v>0</v>
      </c>
      <c r="W91">
        <f>IFERROR(VLOOKUP(Rotas_Geral[[#This Row],[Nome Loja]],#REF!,4,0),0)</f>
        <v>0</v>
      </c>
      <c r="X91">
        <f>IFERROR(VLOOKUP(Rotas_Geral[[#This Row],[Nome Loja]],#REF!,3,0),0)</f>
        <v>0</v>
      </c>
      <c r="Y91">
        <f>IFERROR(VLOOKUP(Rotas_Geral[[#This Row],[Nome Loja]],#REF!,4,0),0)</f>
        <v>0</v>
      </c>
    </row>
    <row r="92" spans="1:25" ht="15.6" x14ac:dyDescent="0.3">
      <c r="A92" s="65">
        <v>5009</v>
      </c>
      <c r="B92" s="65">
        <v>225</v>
      </c>
      <c r="C92" s="65" t="s">
        <v>198</v>
      </c>
      <c r="D92" s="65" t="s">
        <v>199</v>
      </c>
      <c r="E92" s="66" t="s">
        <v>60</v>
      </c>
      <c r="F92" s="66" t="s">
        <v>103</v>
      </c>
      <c r="G92" s="67" t="s">
        <v>382</v>
      </c>
      <c r="H92" s="67" t="s">
        <v>109</v>
      </c>
      <c r="J92">
        <v>400</v>
      </c>
      <c r="K92" t="s">
        <v>404</v>
      </c>
      <c r="L92" t="s">
        <v>404</v>
      </c>
      <c r="M92" t="s">
        <v>90</v>
      </c>
      <c r="N92" t="s">
        <v>90</v>
      </c>
      <c r="O92" t="s">
        <v>529</v>
      </c>
      <c r="P92" t="s">
        <v>109</v>
      </c>
      <c r="Q92" t="s">
        <v>90</v>
      </c>
      <c r="R92" t="s">
        <v>485</v>
      </c>
      <c r="S92" t="s">
        <v>493</v>
      </c>
      <c r="T92" t="s">
        <v>483</v>
      </c>
      <c r="U92" t="s">
        <v>486</v>
      </c>
      <c r="V92">
        <f>IFERROR(VLOOKUP(Rotas_Geral[[#This Row],[Nome Loja]],#REF!,3,0),0)</f>
        <v>0</v>
      </c>
      <c r="W92">
        <f>IFERROR(VLOOKUP(Rotas_Geral[[#This Row],[Nome Loja]],#REF!,4,0),0)</f>
        <v>0</v>
      </c>
      <c r="X92">
        <f>IFERROR(VLOOKUP(Rotas_Geral[[#This Row],[Nome Loja]],#REF!,3,0),0)</f>
        <v>0</v>
      </c>
      <c r="Y92">
        <f>IFERROR(VLOOKUP(Rotas_Geral[[#This Row],[Nome Loja]],#REF!,4,0),0)</f>
        <v>0</v>
      </c>
    </row>
    <row r="93" spans="1:25" ht="15.6" x14ac:dyDescent="0.3">
      <c r="A93" s="65">
        <v>5007</v>
      </c>
      <c r="B93" s="65">
        <v>2008</v>
      </c>
      <c r="C93" s="65" t="s">
        <v>218</v>
      </c>
      <c r="D93" s="65" t="s">
        <v>219</v>
      </c>
      <c r="E93" s="66" t="s">
        <v>60</v>
      </c>
      <c r="F93" s="66" t="s">
        <v>103</v>
      </c>
      <c r="G93" s="67" t="s">
        <v>382</v>
      </c>
      <c r="H93" s="67" t="s">
        <v>109</v>
      </c>
      <c r="J93">
        <v>408</v>
      </c>
      <c r="K93" t="s">
        <v>202</v>
      </c>
      <c r="L93" t="s">
        <v>203</v>
      </c>
      <c r="M93" t="s">
        <v>90</v>
      </c>
      <c r="N93" t="s">
        <v>90</v>
      </c>
      <c r="O93" t="s">
        <v>529</v>
      </c>
      <c r="P93" t="s">
        <v>109</v>
      </c>
      <c r="Q93" t="s">
        <v>307</v>
      </c>
      <c r="R93" t="s">
        <v>305</v>
      </c>
      <c r="S93" t="s">
        <v>493</v>
      </c>
      <c r="T93" t="s">
        <v>483</v>
      </c>
      <c r="U93" t="s">
        <v>483</v>
      </c>
      <c r="V93">
        <f>IFERROR(VLOOKUP(Rotas_Geral[[#This Row],[Nome Loja]],#REF!,3,0),0)</f>
        <v>0</v>
      </c>
      <c r="W93">
        <f>IFERROR(VLOOKUP(Rotas_Geral[[#This Row],[Nome Loja]],#REF!,4,0),0)</f>
        <v>0</v>
      </c>
      <c r="X93">
        <f>IFERROR(VLOOKUP(Rotas_Geral[[#This Row],[Nome Loja]],#REF!,3,0),0)</f>
        <v>0</v>
      </c>
      <c r="Y93">
        <f>IFERROR(VLOOKUP(Rotas_Geral[[#This Row],[Nome Loja]],#REF!,4,0),0)</f>
        <v>0</v>
      </c>
    </row>
    <row r="94" spans="1:25" ht="15.6" x14ac:dyDescent="0.3">
      <c r="A94" s="65">
        <v>5008</v>
      </c>
      <c r="B94" s="65">
        <v>408</v>
      </c>
      <c r="C94" s="65" t="s">
        <v>202</v>
      </c>
      <c r="D94" s="65" t="s">
        <v>203</v>
      </c>
      <c r="E94" s="66" t="s">
        <v>60</v>
      </c>
      <c r="F94" s="66" t="s">
        <v>103</v>
      </c>
      <c r="G94" s="67" t="s">
        <v>382</v>
      </c>
      <c r="H94" s="67" t="s">
        <v>109</v>
      </c>
      <c r="J94">
        <v>409</v>
      </c>
      <c r="K94" t="s">
        <v>204</v>
      </c>
      <c r="L94" t="s">
        <v>205</v>
      </c>
      <c r="M94" t="s">
        <v>90</v>
      </c>
      <c r="N94" t="s">
        <v>90</v>
      </c>
      <c r="O94" t="s">
        <v>529</v>
      </c>
      <c r="P94" t="s">
        <v>109</v>
      </c>
      <c r="Q94" t="s">
        <v>307</v>
      </c>
      <c r="R94" t="s">
        <v>305</v>
      </c>
      <c r="S94" t="s">
        <v>493</v>
      </c>
      <c r="T94" t="s">
        <v>483</v>
      </c>
      <c r="U94" t="s">
        <v>483</v>
      </c>
      <c r="V94">
        <f>IFERROR(VLOOKUP(Rotas_Geral[[#This Row],[Nome Loja]],#REF!,3,0),0)</f>
        <v>0</v>
      </c>
      <c r="W94">
        <f>IFERROR(VLOOKUP(Rotas_Geral[[#This Row],[Nome Loja]],#REF!,4,0),0)</f>
        <v>0</v>
      </c>
      <c r="X94">
        <f>IFERROR(VLOOKUP(Rotas_Geral[[#This Row],[Nome Loja]],#REF!,3,0),0)</f>
        <v>0</v>
      </c>
      <c r="Y94">
        <f>IFERROR(VLOOKUP(Rotas_Geral[[#This Row],[Nome Loja]],#REF!,4,0),0)</f>
        <v>0</v>
      </c>
    </row>
    <row r="95" spans="1:25" ht="15.6" x14ac:dyDescent="0.3">
      <c r="A95" s="65">
        <v>6676</v>
      </c>
      <c r="B95" s="65">
        <v>409</v>
      </c>
      <c r="C95" s="65" t="s">
        <v>204</v>
      </c>
      <c r="D95" s="65" t="s">
        <v>205</v>
      </c>
      <c r="E95" s="66" t="s">
        <v>75</v>
      </c>
      <c r="F95" s="66" t="s">
        <v>103</v>
      </c>
      <c r="G95" s="67" t="s">
        <v>382</v>
      </c>
      <c r="H95" s="67" t="s">
        <v>109</v>
      </c>
      <c r="J95">
        <v>410</v>
      </c>
      <c r="K95" t="s">
        <v>206</v>
      </c>
      <c r="L95" t="s">
        <v>207</v>
      </c>
      <c r="M95" t="s">
        <v>90</v>
      </c>
      <c r="N95" t="s">
        <v>90</v>
      </c>
      <c r="O95" t="s">
        <v>529</v>
      </c>
      <c r="P95" t="s">
        <v>109</v>
      </c>
      <c r="Q95" t="s">
        <v>307</v>
      </c>
      <c r="R95" t="s">
        <v>305</v>
      </c>
      <c r="S95" t="s">
        <v>493</v>
      </c>
      <c r="T95" t="s">
        <v>483</v>
      </c>
      <c r="U95" t="s">
        <v>483</v>
      </c>
      <c r="V95">
        <f>IFERROR(VLOOKUP(Rotas_Geral[[#This Row],[Nome Loja]],#REF!,3,0),0)</f>
        <v>0</v>
      </c>
      <c r="W95">
        <f>IFERROR(VLOOKUP(Rotas_Geral[[#This Row],[Nome Loja]],#REF!,4,0),0)</f>
        <v>0</v>
      </c>
      <c r="X95">
        <f>IFERROR(VLOOKUP(Rotas_Geral[[#This Row],[Nome Loja]],#REF!,3,0),0)</f>
        <v>0</v>
      </c>
      <c r="Y95">
        <f>IFERROR(VLOOKUP(Rotas_Geral[[#This Row],[Nome Loja]],#REF!,4,0),0)</f>
        <v>0</v>
      </c>
    </row>
    <row r="96" spans="1:25" ht="15.6" x14ac:dyDescent="0.3">
      <c r="A96" s="65">
        <v>7316</v>
      </c>
      <c r="B96" s="65">
        <v>411</v>
      </c>
      <c r="C96" s="65" t="s">
        <v>208</v>
      </c>
      <c r="D96" s="65" t="s">
        <v>209</v>
      </c>
      <c r="E96" s="66" t="s">
        <v>60</v>
      </c>
      <c r="F96" s="66" t="s">
        <v>103</v>
      </c>
      <c r="G96" s="67" t="s">
        <v>382</v>
      </c>
      <c r="H96" s="67" t="s">
        <v>109</v>
      </c>
      <c r="J96">
        <v>411</v>
      </c>
      <c r="K96" t="s">
        <v>208</v>
      </c>
      <c r="L96" t="s">
        <v>209</v>
      </c>
      <c r="M96" t="s">
        <v>90</v>
      </c>
      <c r="N96" t="s">
        <v>90</v>
      </c>
      <c r="O96" t="s">
        <v>529</v>
      </c>
      <c r="P96" t="s">
        <v>109</v>
      </c>
      <c r="Q96" t="s">
        <v>307</v>
      </c>
      <c r="R96" t="s">
        <v>305</v>
      </c>
      <c r="S96" t="s">
        <v>493</v>
      </c>
      <c r="T96" t="s">
        <v>483</v>
      </c>
      <c r="U96" t="s">
        <v>483</v>
      </c>
      <c r="V96">
        <f>IFERROR(VLOOKUP(Rotas_Geral[[#This Row],[Nome Loja]],#REF!,3,0),0)</f>
        <v>0</v>
      </c>
      <c r="W96">
        <f>IFERROR(VLOOKUP(Rotas_Geral[[#This Row],[Nome Loja]],#REF!,4,0),0)</f>
        <v>0</v>
      </c>
      <c r="X96">
        <f>IFERROR(VLOOKUP(Rotas_Geral[[#This Row],[Nome Loja]],#REF!,3,0),0)</f>
        <v>0</v>
      </c>
      <c r="Y96">
        <f>IFERROR(VLOOKUP(Rotas_Geral[[#This Row],[Nome Loja]],#REF!,4,0),0)</f>
        <v>0</v>
      </c>
    </row>
    <row r="97" spans="1:25" ht="15.6" x14ac:dyDescent="0.3">
      <c r="A97" s="65">
        <v>7315</v>
      </c>
      <c r="B97" s="65">
        <v>410</v>
      </c>
      <c r="C97" s="65" t="s">
        <v>206</v>
      </c>
      <c r="D97" s="65" t="s">
        <v>207</v>
      </c>
      <c r="E97" s="66" t="s">
        <v>75</v>
      </c>
      <c r="F97" s="66" t="s">
        <v>103</v>
      </c>
      <c r="G97" s="67" t="s">
        <v>382</v>
      </c>
      <c r="H97" s="67" t="s">
        <v>109</v>
      </c>
      <c r="J97">
        <v>412</v>
      </c>
      <c r="K97" t="s">
        <v>210</v>
      </c>
      <c r="L97" t="s">
        <v>211</v>
      </c>
      <c r="M97" t="s">
        <v>90</v>
      </c>
      <c r="N97" t="s">
        <v>90</v>
      </c>
      <c r="O97" t="s">
        <v>529</v>
      </c>
      <c r="P97" t="s">
        <v>109</v>
      </c>
      <c r="Q97" t="s">
        <v>307</v>
      </c>
      <c r="R97" t="s">
        <v>305</v>
      </c>
      <c r="S97" t="s">
        <v>493</v>
      </c>
      <c r="T97" t="s">
        <v>483</v>
      </c>
      <c r="U97" t="s">
        <v>483</v>
      </c>
      <c r="V97">
        <f>IFERROR(VLOOKUP(Rotas_Geral[[#This Row],[Nome Loja]],#REF!,3,0),0)</f>
        <v>0</v>
      </c>
      <c r="W97">
        <f>IFERROR(VLOOKUP(Rotas_Geral[[#This Row],[Nome Loja]],#REF!,4,0),0)</f>
        <v>0</v>
      </c>
      <c r="X97">
        <f>IFERROR(VLOOKUP(Rotas_Geral[[#This Row],[Nome Loja]],#REF!,3,0),0)</f>
        <v>0</v>
      </c>
      <c r="Y97">
        <f>IFERROR(VLOOKUP(Rotas_Geral[[#This Row],[Nome Loja]],#REF!,4,0),0)</f>
        <v>0</v>
      </c>
    </row>
    <row r="98" spans="1:25" ht="15.6" x14ac:dyDescent="0.3">
      <c r="A98" s="65">
        <v>12030</v>
      </c>
      <c r="B98" s="65">
        <v>412</v>
      </c>
      <c r="C98" s="65" t="s">
        <v>210</v>
      </c>
      <c r="D98" s="65" t="s">
        <v>211</v>
      </c>
      <c r="E98" s="66" t="s">
        <v>75</v>
      </c>
      <c r="F98" s="66" t="s">
        <v>103</v>
      </c>
      <c r="G98" s="67" t="s">
        <v>382</v>
      </c>
      <c r="H98" s="67" t="s">
        <v>109</v>
      </c>
      <c r="J98">
        <v>414</v>
      </c>
      <c r="K98" t="s">
        <v>238</v>
      </c>
      <c r="L98" t="s">
        <v>239</v>
      </c>
      <c r="M98" t="s">
        <v>90</v>
      </c>
      <c r="N98" t="s">
        <v>90</v>
      </c>
      <c r="O98" t="s">
        <v>529</v>
      </c>
      <c r="P98" t="s">
        <v>223</v>
      </c>
      <c r="Q98" t="s">
        <v>307</v>
      </c>
      <c r="R98" t="s">
        <v>298</v>
      </c>
      <c r="S98" t="s">
        <v>493</v>
      </c>
      <c r="T98" t="s">
        <v>483</v>
      </c>
      <c r="U98" t="s">
        <v>483</v>
      </c>
      <c r="V98">
        <f>IFERROR(VLOOKUP(Rotas_Geral[[#This Row],[Nome Loja]],#REF!,3,0),0)</f>
        <v>0</v>
      </c>
      <c r="W98">
        <f>IFERROR(VLOOKUP(Rotas_Geral[[#This Row],[Nome Loja]],#REF!,4,0),0)</f>
        <v>0</v>
      </c>
      <c r="X98">
        <f>IFERROR(VLOOKUP(Rotas_Geral[[#This Row],[Nome Loja]],#REF!,3,0),0)</f>
        <v>0</v>
      </c>
      <c r="Y98">
        <f>IFERROR(VLOOKUP(Rotas_Geral[[#This Row],[Nome Loja]],#REF!,4,0),0)</f>
        <v>0</v>
      </c>
    </row>
    <row r="99" spans="1:25" ht="15.6" x14ac:dyDescent="0.3">
      <c r="A99" s="65">
        <v>9125</v>
      </c>
      <c r="B99" s="65">
        <v>259</v>
      </c>
      <c r="C99" s="65" t="s">
        <v>200</v>
      </c>
      <c r="D99" s="65" t="s">
        <v>201</v>
      </c>
      <c r="E99" s="66" t="s">
        <v>299</v>
      </c>
      <c r="F99" s="66" t="s">
        <v>103</v>
      </c>
      <c r="G99" s="67" t="s">
        <v>382</v>
      </c>
      <c r="H99" s="67" t="s">
        <v>109</v>
      </c>
      <c r="J99">
        <v>415</v>
      </c>
      <c r="K99" t="s">
        <v>212</v>
      </c>
      <c r="L99" t="s">
        <v>213</v>
      </c>
      <c r="M99" t="s">
        <v>90</v>
      </c>
      <c r="N99" t="s">
        <v>90</v>
      </c>
      <c r="O99" t="s">
        <v>529</v>
      </c>
      <c r="P99" t="s">
        <v>109</v>
      </c>
      <c r="Q99" t="s">
        <v>307</v>
      </c>
      <c r="R99" t="s">
        <v>305</v>
      </c>
      <c r="S99" t="s">
        <v>493</v>
      </c>
      <c r="T99" t="s">
        <v>483</v>
      </c>
      <c r="U99" t="s">
        <v>483</v>
      </c>
      <c r="V99">
        <f>IFERROR(VLOOKUP(Rotas_Geral[[#This Row],[Nome Loja]],#REF!,3,0),0)</f>
        <v>0</v>
      </c>
      <c r="W99">
        <f>IFERROR(VLOOKUP(Rotas_Geral[[#This Row],[Nome Loja]],#REF!,4,0),0)</f>
        <v>0</v>
      </c>
      <c r="X99">
        <f>IFERROR(VLOOKUP(Rotas_Geral[[#This Row],[Nome Loja]],#REF!,3,0),0)</f>
        <v>0</v>
      </c>
      <c r="Y99">
        <f>IFERROR(VLOOKUP(Rotas_Geral[[#This Row],[Nome Loja]],#REF!,4,0),0)</f>
        <v>0</v>
      </c>
    </row>
    <row r="100" spans="1:25" ht="15.6" x14ac:dyDescent="0.3">
      <c r="A100" s="65">
        <v>12027</v>
      </c>
      <c r="B100" s="65">
        <v>255</v>
      </c>
      <c r="C100" s="65" t="s">
        <v>112</v>
      </c>
      <c r="D100" s="65" t="s">
        <v>113</v>
      </c>
      <c r="E100" s="66" t="s">
        <v>88</v>
      </c>
      <c r="F100" s="66" t="s">
        <v>103</v>
      </c>
      <c r="G100" s="67" t="s">
        <v>382</v>
      </c>
      <c r="H100" s="67" t="s">
        <v>109</v>
      </c>
      <c r="J100">
        <v>416</v>
      </c>
      <c r="K100" t="s">
        <v>267</v>
      </c>
      <c r="L100" t="s">
        <v>268</v>
      </c>
      <c r="M100" t="s">
        <v>90</v>
      </c>
      <c r="N100" t="s">
        <v>90</v>
      </c>
      <c r="O100" t="s">
        <v>529</v>
      </c>
      <c r="P100" t="s">
        <v>223</v>
      </c>
      <c r="Q100" t="s">
        <v>307</v>
      </c>
      <c r="R100" t="s">
        <v>485</v>
      </c>
      <c r="S100" t="s">
        <v>493</v>
      </c>
      <c r="T100" t="s">
        <v>483</v>
      </c>
      <c r="U100" t="s">
        <v>483</v>
      </c>
      <c r="V100">
        <f>IFERROR(VLOOKUP(Rotas_Geral[[#This Row],[Nome Loja]],#REF!,3,0),0)</f>
        <v>0</v>
      </c>
      <c r="W100">
        <f>IFERROR(VLOOKUP(Rotas_Geral[[#This Row],[Nome Loja]],#REF!,4,0),0)</f>
        <v>0</v>
      </c>
      <c r="X100">
        <f>IFERROR(VLOOKUP(Rotas_Geral[[#This Row],[Nome Loja]],#REF!,3,0),0)</f>
        <v>0</v>
      </c>
      <c r="Y100">
        <f>IFERROR(VLOOKUP(Rotas_Geral[[#This Row],[Nome Loja]],#REF!,4,0),0)</f>
        <v>0</v>
      </c>
    </row>
    <row r="101" spans="1:25" ht="15.6" x14ac:dyDescent="0.3">
      <c r="A101" s="65">
        <v>12028</v>
      </c>
      <c r="B101" s="65">
        <v>30</v>
      </c>
      <c r="C101" s="65" t="s">
        <v>185</v>
      </c>
      <c r="D101" s="65" t="s">
        <v>186</v>
      </c>
      <c r="E101" s="66" t="s">
        <v>356</v>
      </c>
      <c r="F101" s="66" t="s">
        <v>103</v>
      </c>
      <c r="G101" s="67" t="s">
        <v>382</v>
      </c>
      <c r="H101" s="67" t="s">
        <v>109</v>
      </c>
      <c r="J101">
        <v>418</v>
      </c>
      <c r="K101" t="s">
        <v>214</v>
      </c>
      <c r="L101" t="s">
        <v>215</v>
      </c>
      <c r="M101" t="s">
        <v>90</v>
      </c>
      <c r="N101" t="s">
        <v>90</v>
      </c>
      <c r="O101" t="s">
        <v>529</v>
      </c>
      <c r="P101" t="s">
        <v>109</v>
      </c>
      <c r="Q101" t="s">
        <v>307</v>
      </c>
      <c r="R101" t="s">
        <v>305</v>
      </c>
      <c r="S101" t="s">
        <v>493</v>
      </c>
      <c r="T101" t="s">
        <v>483</v>
      </c>
      <c r="U101" t="s">
        <v>483</v>
      </c>
      <c r="V101">
        <f>IFERROR(VLOOKUP(Rotas_Geral[[#This Row],[Nome Loja]],#REF!,3,0),0)</f>
        <v>0</v>
      </c>
      <c r="W101">
        <f>IFERROR(VLOOKUP(Rotas_Geral[[#This Row],[Nome Loja]],#REF!,4,0),0)</f>
        <v>0</v>
      </c>
      <c r="X101">
        <f>IFERROR(VLOOKUP(Rotas_Geral[[#This Row],[Nome Loja]],#REF!,3,0),0)</f>
        <v>0</v>
      </c>
      <c r="Y101">
        <f>IFERROR(VLOOKUP(Rotas_Geral[[#This Row],[Nome Loja]],#REF!,4,0),0)</f>
        <v>0</v>
      </c>
    </row>
    <row r="102" spans="1:25" ht="15.6" x14ac:dyDescent="0.3">
      <c r="A102" s="65">
        <v>12029</v>
      </c>
      <c r="B102" s="65">
        <v>23</v>
      </c>
      <c r="C102" s="65" t="s">
        <v>179</v>
      </c>
      <c r="D102" s="65" t="s">
        <v>180</v>
      </c>
      <c r="E102" s="66" t="s">
        <v>356</v>
      </c>
      <c r="F102" s="66" t="s">
        <v>103</v>
      </c>
      <c r="G102" s="67" t="s">
        <v>382</v>
      </c>
      <c r="H102" s="67" t="s">
        <v>109</v>
      </c>
      <c r="J102">
        <v>423</v>
      </c>
      <c r="K102" t="s">
        <v>269</v>
      </c>
      <c r="L102" t="s">
        <v>270</v>
      </c>
      <c r="M102" t="s">
        <v>90</v>
      </c>
      <c r="N102" t="s">
        <v>90</v>
      </c>
      <c r="O102" t="s">
        <v>529</v>
      </c>
      <c r="P102" t="s">
        <v>223</v>
      </c>
      <c r="Q102" t="s">
        <v>307</v>
      </c>
      <c r="R102" t="s">
        <v>485</v>
      </c>
      <c r="S102" t="s">
        <v>493</v>
      </c>
      <c r="T102" t="s">
        <v>483</v>
      </c>
      <c r="U102" t="s">
        <v>483</v>
      </c>
      <c r="V102">
        <f>IFERROR(VLOOKUP(Rotas_Geral[[#This Row],[Nome Loja]],#REF!,3,0),0)</f>
        <v>0</v>
      </c>
      <c r="W102">
        <f>IFERROR(VLOOKUP(Rotas_Geral[[#This Row],[Nome Loja]],#REF!,4,0),0)</f>
        <v>0</v>
      </c>
      <c r="X102">
        <f>IFERROR(VLOOKUP(Rotas_Geral[[#This Row],[Nome Loja]],#REF!,3,0),0)</f>
        <v>0</v>
      </c>
      <c r="Y102">
        <f>IFERROR(VLOOKUP(Rotas_Geral[[#This Row],[Nome Loja]],#REF!,4,0),0)</f>
        <v>0</v>
      </c>
    </row>
    <row r="103" spans="1:25" ht="15.6" x14ac:dyDescent="0.3">
      <c r="A103" s="65">
        <v>12560</v>
      </c>
      <c r="B103" s="65">
        <v>34</v>
      </c>
      <c r="C103" s="65" t="s">
        <v>110</v>
      </c>
      <c r="D103" s="65" t="s">
        <v>111</v>
      </c>
      <c r="E103" s="66" t="s">
        <v>62</v>
      </c>
      <c r="F103" s="66" t="s">
        <v>103</v>
      </c>
      <c r="G103" s="67" t="s">
        <v>382</v>
      </c>
      <c r="H103" s="67" t="s">
        <v>109</v>
      </c>
      <c r="J103">
        <v>424</v>
      </c>
      <c r="K103" t="s">
        <v>143</v>
      </c>
      <c r="L103" t="s">
        <v>144</v>
      </c>
      <c r="M103" t="s">
        <v>354</v>
      </c>
      <c r="N103" t="s">
        <v>354</v>
      </c>
      <c r="O103" t="s">
        <v>529</v>
      </c>
      <c r="P103" t="s">
        <v>472</v>
      </c>
      <c r="Q103" t="s">
        <v>307</v>
      </c>
      <c r="R103" t="s">
        <v>305</v>
      </c>
      <c r="S103" t="s">
        <v>479</v>
      </c>
      <c r="T103" t="s">
        <v>483</v>
      </c>
      <c r="U103" t="s">
        <v>483</v>
      </c>
      <c r="V103">
        <f>IFERROR(VLOOKUP(Rotas_Geral[[#This Row],[Nome Loja]],#REF!,3,0),0)</f>
        <v>0</v>
      </c>
      <c r="W103">
        <f>IFERROR(VLOOKUP(Rotas_Geral[[#This Row],[Nome Loja]],#REF!,4,0),0)</f>
        <v>0</v>
      </c>
      <c r="X103">
        <f>IFERROR(VLOOKUP(Rotas_Geral[[#This Row],[Nome Loja]],#REF!,3,0),0)</f>
        <v>0</v>
      </c>
      <c r="Y103">
        <f>IFERROR(VLOOKUP(Rotas_Geral[[#This Row],[Nome Loja]],#REF!,4,0),0)</f>
        <v>0</v>
      </c>
    </row>
    <row r="104" spans="1:25" ht="15.6" x14ac:dyDescent="0.3">
      <c r="A104" s="65">
        <v>5528</v>
      </c>
      <c r="B104" s="65">
        <v>29</v>
      </c>
      <c r="C104" s="65" t="s">
        <v>183</v>
      </c>
      <c r="D104" s="65" t="s">
        <v>184</v>
      </c>
      <c r="E104" s="66" t="s">
        <v>294</v>
      </c>
      <c r="F104" s="66" t="s">
        <v>103</v>
      </c>
      <c r="G104" s="67" t="s">
        <v>382</v>
      </c>
      <c r="H104" s="67" t="s">
        <v>109</v>
      </c>
      <c r="J104">
        <v>425</v>
      </c>
      <c r="K104" t="s">
        <v>216</v>
      </c>
      <c r="L104" t="s">
        <v>217</v>
      </c>
      <c r="M104" t="s">
        <v>90</v>
      </c>
      <c r="N104" t="s">
        <v>90</v>
      </c>
      <c r="O104" t="s">
        <v>529</v>
      </c>
      <c r="P104" t="s">
        <v>109</v>
      </c>
      <c r="Q104" t="s">
        <v>307</v>
      </c>
      <c r="R104" t="s">
        <v>305</v>
      </c>
      <c r="S104" t="s">
        <v>493</v>
      </c>
      <c r="T104" t="s">
        <v>483</v>
      </c>
      <c r="U104" t="s">
        <v>483</v>
      </c>
      <c r="V104">
        <f>IFERROR(VLOOKUP(Rotas_Geral[[#This Row],[Nome Loja]],#REF!,3,0),0)</f>
        <v>0</v>
      </c>
      <c r="W104">
        <f>IFERROR(VLOOKUP(Rotas_Geral[[#This Row],[Nome Loja]],#REF!,4,0),0)</f>
        <v>0</v>
      </c>
      <c r="X104">
        <f>IFERROR(VLOOKUP(Rotas_Geral[[#This Row],[Nome Loja]],#REF!,3,0),0)</f>
        <v>0</v>
      </c>
      <c r="Y104">
        <f>IFERROR(VLOOKUP(Rotas_Geral[[#This Row],[Nome Loja]],#REF!,4,0),0)</f>
        <v>0</v>
      </c>
    </row>
    <row r="105" spans="1:25" ht="15.6" x14ac:dyDescent="0.3">
      <c r="A105" s="65">
        <v>1287</v>
      </c>
      <c r="B105" s="65">
        <v>31</v>
      </c>
      <c r="C105" s="65" t="s">
        <v>187</v>
      </c>
      <c r="D105" s="65" t="s">
        <v>188</v>
      </c>
      <c r="E105" s="66" t="s">
        <v>75</v>
      </c>
      <c r="F105" s="66" t="s">
        <v>103</v>
      </c>
      <c r="G105" s="67" t="s">
        <v>382</v>
      </c>
      <c r="H105" s="67" t="s">
        <v>109</v>
      </c>
      <c r="J105">
        <v>426</v>
      </c>
      <c r="K105" t="s">
        <v>279</v>
      </c>
      <c r="L105" t="s">
        <v>280</v>
      </c>
      <c r="M105" t="s">
        <v>90</v>
      </c>
      <c r="N105" t="s">
        <v>90</v>
      </c>
      <c r="O105" t="s">
        <v>529</v>
      </c>
      <c r="P105" t="s">
        <v>223</v>
      </c>
      <c r="Q105" t="s">
        <v>307</v>
      </c>
      <c r="R105" t="s">
        <v>485</v>
      </c>
      <c r="S105" t="s">
        <v>493</v>
      </c>
      <c r="T105" t="s">
        <v>483</v>
      </c>
      <c r="U105" t="s">
        <v>483</v>
      </c>
      <c r="V105">
        <f>IFERROR(VLOOKUP(Rotas_Geral[[#This Row],[Nome Loja]],#REF!,3,0),0)</f>
        <v>0</v>
      </c>
      <c r="W105">
        <f>IFERROR(VLOOKUP(Rotas_Geral[[#This Row],[Nome Loja]],#REF!,4,0),0)</f>
        <v>0</v>
      </c>
      <c r="X105">
        <f>IFERROR(VLOOKUP(Rotas_Geral[[#This Row],[Nome Loja]],#REF!,3,0),0)</f>
        <v>0</v>
      </c>
      <c r="Y105">
        <f>IFERROR(VLOOKUP(Rotas_Geral[[#This Row],[Nome Loja]],#REF!,4,0),0)</f>
        <v>0</v>
      </c>
    </row>
    <row r="106" spans="1:25" ht="15.6" x14ac:dyDescent="0.3">
      <c r="A106" s="65">
        <v>15925</v>
      </c>
      <c r="B106" s="65">
        <v>27</v>
      </c>
      <c r="C106" s="65" t="s">
        <v>181</v>
      </c>
      <c r="D106" s="65" t="s">
        <v>182</v>
      </c>
      <c r="E106" s="66" t="s">
        <v>70</v>
      </c>
      <c r="F106" s="66" t="s">
        <v>103</v>
      </c>
      <c r="G106" s="67" t="s">
        <v>382</v>
      </c>
      <c r="H106" s="67" t="s">
        <v>109</v>
      </c>
      <c r="J106">
        <v>427</v>
      </c>
      <c r="K106" t="s">
        <v>145</v>
      </c>
      <c r="L106" t="s">
        <v>146</v>
      </c>
      <c r="M106" t="s">
        <v>90</v>
      </c>
      <c r="N106" t="s">
        <v>90</v>
      </c>
      <c r="O106" t="s">
        <v>529</v>
      </c>
      <c r="P106" t="s">
        <v>472</v>
      </c>
      <c r="Q106" t="s">
        <v>307</v>
      </c>
      <c r="R106" t="s">
        <v>305</v>
      </c>
      <c r="S106" t="s">
        <v>479</v>
      </c>
      <c r="T106" t="s">
        <v>483</v>
      </c>
      <c r="U106" t="s">
        <v>483</v>
      </c>
      <c r="V106">
        <f>IFERROR(VLOOKUP(Rotas_Geral[[#This Row],[Nome Loja]],#REF!,3,0),0)</f>
        <v>0</v>
      </c>
      <c r="W106">
        <f>IFERROR(VLOOKUP(Rotas_Geral[[#This Row],[Nome Loja]],#REF!,4,0),0)</f>
        <v>0</v>
      </c>
      <c r="X106">
        <f>IFERROR(VLOOKUP(Rotas_Geral[[#This Row],[Nome Loja]],#REF!,3,0),0)</f>
        <v>0</v>
      </c>
      <c r="Y106">
        <f>IFERROR(VLOOKUP(Rotas_Geral[[#This Row],[Nome Loja]],#REF!,4,0),0)</f>
        <v>0</v>
      </c>
    </row>
    <row r="107" spans="1:25" ht="15.6" x14ac:dyDescent="0.3">
      <c r="A107" s="65">
        <v>17512</v>
      </c>
      <c r="B107" s="65">
        <v>16</v>
      </c>
      <c r="C107" s="65" t="s">
        <v>105</v>
      </c>
      <c r="D107" s="65" t="s">
        <v>106</v>
      </c>
      <c r="E107" s="66" t="s">
        <v>423</v>
      </c>
      <c r="F107" s="66" t="s">
        <v>103</v>
      </c>
      <c r="G107" s="67" t="s">
        <v>382</v>
      </c>
      <c r="H107" s="67" t="s">
        <v>109</v>
      </c>
      <c r="J107">
        <v>428</v>
      </c>
      <c r="K107" t="s">
        <v>147</v>
      </c>
      <c r="L107" t="s">
        <v>148</v>
      </c>
      <c r="M107" t="s">
        <v>90</v>
      </c>
      <c r="N107" t="s">
        <v>90</v>
      </c>
      <c r="O107" t="s">
        <v>529</v>
      </c>
      <c r="P107" t="s">
        <v>472</v>
      </c>
      <c r="Q107" t="s">
        <v>307</v>
      </c>
      <c r="R107" t="s">
        <v>305</v>
      </c>
      <c r="S107" t="s">
        <v>479</v>
      </c>
      <c r="T107" t="s">
        <v>483</v>
      </c>
      <c r="U107" t="s">
        <v>483</v>
      </c>
      <c r="V107">
        <f>IFERROR(VLOOKUP(Rotas_Geral[[#This Row],[Nome Loja]],#REF!,3,0),0)</f>
        <v>0</v>
      </c>
      <c r="W107">
        <f>IFERROR(VLOOKUP(Rotas_Geral[[#This Row],[Nome Loja]],#REF!,4,0),0)</f>
        <v>0</v>
      </c>
      <c r="X107">
        <f>IFERROR(VLOOKUP(Rotas_Geral[[#This Row],[Nome Loja]],#REF!,3,0),0)</f>
        <v>0</v>
      </c>
      <c r="Y107">
        <f>IFERROR(VLOOKUP(Rotas_Geral[[#This Row],[Nome Loja]],#REF!,4,0),0)</f>
        <v>0</v>
      </c>
    </row>
    <row r="108" spans="1:25" ht="15.6" x14ac:dyDescent="0.3">
      <c r="A108" s="65">
        <v>222</v>
      </c>
      <c r="B108" s="65">
        <v>11</v>
      </c>
      <c r="C108" s="65" t="s">
        <v>169</v>
      </c>
      <c r="D108" s="65" t="s">
        <v>170</v>
      </c>
      <c r="E108" s="66" t="s">
        <v>294</v>
      </c>
      <c r="F108" s="66" t="s">
        <v>103</v>
      </c>
      <c r="G108" s="67" t="s">
        <v>382</v>
      </c>
      <c r="H108" s="67" t="s">
        <v>109</v>
      </c>
      <c r="J108">
        <v>429</v>
      </c>
      <c r="K108" t="s">
        <v>149</v>
      </c>
      <c r="L108" t="s">
        <v>150</v>
      </c>
      <c r="M108" t="s">
        <v>354</v>
      </c>
      <c r="N108" t="s">
        <v>354</v>
      </c>
      <c r="O108" t="s">
        <v>529</v>
      </c>
      <c r="P108" t="s">
        <v>472</v>
      </c>
      <c r="Q108" t="s">
        <v>307</v>
      </c>
      <c r="R108" t="s">
        <v>305</v>
      </c>
      <c r="S108" t="s">
        <v>479</v>
      </c>
      <c r="T108" t="s">
        <v>483</v>
      </c>
      <c r="U108" t="s">
        <v>483</v>
      </c>
      <c r="V108">
        <f>IFERROR(VLOOKUP(Rotas_Geral[[#This Row],[Nome Loja]],#REF!,3,0),0)</f>
        <v>0</v>
      </c>
      <c r="W108">
        <f>IFERROR(VLOOKUP(Rotas_Geral[[#This Row],[Nome Loja]],#REF!,4,0),0)</f>
        <v>0</v>
      </c>
      <c r="X108">
        <f>IFERROR(VLOOKUP(Rotas_Geral[[#This Row],[Nome Loja]],#REF!,3,0),0)</f>
        <v>0</v>
      </c>
      <c r="Y108">
        <f>IFERROR(VLOOKUP(Rotas_Geral[[#This Row],[Nome Loja]],#REF!,4,0),0)</f>
        <v>0</v>
      </c>
    </row>
    <row r="109" spans="1:25" ht="15.6" x14ac:dyDescent="0.3">
      <c r="A109" s="65">
        <v>225</v>
      </c>
      <c r="B109" s="65">
        <v>5</v>
      </c>
      <c r="C109" s="65" t="s">
        <v>165</v>
      </c>
      <c r="D109" s="65" t="s">
        <v>166</v>
      </c>
      <c r="E109" s="66" t="s">
        <v>70</v>
      </c>
      <c r="F109" s="66" t="s">
        <v>103</v>
      </c>
      <c r="G109" s="67" t="s">
        <v>382</v>
      </c>
      <c r="H109" s="67" t="s">
        <v>109</v>
      </c>
      <c r="J109">
        <v>430</v>
      </c>
      <c r="K109" t="s">
        <v>281</v>
      </c>
      <c r="L109" t="s">
        <v>282</v>
      </c>
      <c r="M109" t="s">
        <v>90</v>
      </c>
      <c r="N109" t="s">
        <v>90</v>
      </c>
      <c r="O109" t="s">
        <v>529</v>
      </c>
      <c r="P109" t="s">
        <v>223</v>
      </c>
      <c r="Q109" t="s">
        <v>307</v>
      </c>
      <c r="R109" t="s">
        <v>485</v>
      </c>
      <c r="S109" t="s">
        <v>493</v>
      </c>
      <c r="T109" t="s">
        <v>483</v>
      </c>
      <c r="U109" t="s">
        <v>483</v>
      </c>
      <c r="V109">
        <f>IFERROR(VLOOKUP(Rotas_Geral[[#This Row],[Nome Loja]],#REF!,3,0),0)</f>
        <v>0</v>
      </c>
      <c r="W109">
        <f>IFERROR(VLOOKUP(Rotas_Geral[[#This Row],[Nome Loja]],#REF!,4,0),0)</f>
        <v>0</v>
      </c>
      <c r="X109">
        <f>IFERROR(VLOOKUP(Rotas_Geral[[#This Row],[Nome Loja]],#REF!,3,0),0)</f>
        <v>0</v>
      </c>
      <c r="Y109">
        <f>IFERROR(VLOOKUP(Rotas_Geral[[#This Row],[Nome Loja]],#REF!,4,0),0)</f>
        <v>0</v>
      </c>
    </row>
    <row r="110" spans="1:25" ht="15.6" x14ac:dyDescent="0.3">
      <c r="A110" s="65">
        <v>17030</v>
      </c>
      <c r="B110" s="65">
        <v>7</v>
      </c>
      <c r="C110" s="65" t="s">
        <v>101</v>
      </c>
      <c r="D110" s="65" t="s">
        <v>102</v>
      </c>
      <c r="E110" s="66" t="s">
        <v>84</v>
      </c>
      <c r="F110" s="66" t="s">
        <v>103</v>
      </c>
      <c r="G110" s="67" t="s">
        <v>382</v>
      </c>
      <c r="H110" s="67" t="s">
        <v>109</v>
      </c>
      <c r="J110">
        <v>431</v>
      </c>
      <c r="K110" t="s">
        <v>151</v>
      </c>
      <c r="L110" t="s">
        <v>152</v>
      </c>
      <c r="M110" t="s">
        <v>90</v>
      </c>
      <c r="N110" t="s">
        <v>90</v>
      </c>
      <c r="O110" t="s">
        <v>529</v>
      </c>
      <c r="P110" t="s">
        <v>472</v>
      </c>
      <c r="Q110" t="s">
        <v>307</v>
      </c>
      <c r="R110" t="s">
        <v>305</v>
      </c>
      <c r="S110" t="s">
        <v>479</v>
      </c>
      <c r="T110" t="s">
        <v>483</v>
      </c>
      <c r="U110" t="s">
        <v>483</v>
      </c>
      <c r="V110">
        <f>IFERROR(VLOOKUP(Rotas_Geral[[#This Row],[Nome Loja]],#REF!,3,0),0)</f>
        <v>0</v>
      </c>
      <c r="W110">
        <f>IFERROR(VLOOKUP(Rotas_Geral[[#This Row],[Nome Loja]],#REF!,4,0),0)</f>
        <v>0</v>
      </c>
      <c r="X110">
        <f>IFERROR(VLOOKUP(Rotas_Geral[[#This Row],[Nome Loja]],#REF!,3,0),0)</f>
        <v>0</v>
      </c>
      <c r="Y110">
        <f>IFERROR(VLOOKUP(Rotas_Geral[[#This Row],[Nome Loja]],#REF!,4,0),0)</f>
        <v>0</v>
      </c>
    </row>
    <row r="111" spans="1:25" ht="15.6" x14ac:dyDescent="0.3">
      <c r="A111" s="65">
        <v>17513</v>
      </c>
      <c r="B111" s="65">
        <v>20</v>
      </c>
      <c r="C111" s="65" t="s">
        <v>107</v>
      </c>
      <c r="D111" s="65" t="s">
        <v>108</v>
      </c>
      <c r="E111" s="66" t="s">
        <v>76</v>
      </c>
      <c r="F111" s="66" t="s">
        <v>103</v>
      </c>
      <c r="G111" s="67" t="s">
        <v>382</v>
      </c>
      <c r="H111" s="67" t="s">
        <v>109</v>
      </c>
      <c r="J111">
        <v>432</v>
      </c>
      <c r="K111" t="s">
        <v>240</v>
      </c>
      <c r="L111" t="s">
        <v>241</v>
      </c>
      <c r="M111" t="s">
        <v>90</v>
      </c>
      <c r="N111" t="s">
        <v>90</v>
      </c>
      <c r="O111" t="s">
        <v>529</v>
      </c>
      <c r="P111" t="s">
        <v>223</v>
      </c>
      <c r="Q111" t="s">
        <v>307</v>
      </c>
      <c r="R111" t="s">
        <v>298</v>
      </c>
      <c r="S111" t="s">
        <v>493</v>
      </c>
      <c r="T111" t="s">
        <v>483</v>
      </c>
      <c r="U111" t="s">
        <v>483</v>
      </c>
      <c r="V111">
        <f>IFERROR(VLOOKUP(Rotas_Geral[[#This Row],[Nome Loja]],#REF!,3,0),0)</f>
        <v>0</v>
      </c>
      <c r="W111">
        <f>IFERROR(VLOOKUP(Rotas_Geral[[#This Row],[Nome Loja]],#REF!,4,0),0)</f>
        <v>0</v>
      </c>
      <c r="X111">
        <f>IFERROR(VLOOKUP(Rotas_Geral[[#This Row],[Nome Loja]],#REF!,3,0),0)</f>
        <v>0</v>
      </c>
      <c r="Y111">
        <f>IFERROR(VLOOKUP(Rotas_Geral[[#This Row],[Nome Loja]],#REF!,4,0),0)</f>
        <v>0</v>
      </c>
    </row>
    <row r="112" spans="1:25" ht="15.6" x14ac:dyDescent="0.3">
      <c r="A112" s="65">
        <v>1304</v>
      </c>
      <c r="B112" s="65">
        <v>17</v>
      </c>
      <c r="C112" s="65" t="s">
        <v>173</v>
      </c>
      <c r="D112" s="65" t="s">
        <v>174</v>
      </c>
      <c r="E112" s="66" t="s">
        <v>299</v>
      </c>
      <c r="F112" s="66" t="s">
        <v>103</v>
      </c>
      <c r="G112" s="67" t="s">
        <v>382</v>
      </c>
      <c r="H112" s="67" t="s">
        <v>109</v>
      </c>
      <c r="J112">
        <v>433</v>
      </c>
      <c r="K112" t="s">
        <v>153</v>
      </c>
      <c r="L112" t="s">
        <v>154</v>
      </c>
      <c r="M112" t="s">
        <v>90</v>
      </c>
      <c r="N112" t="s">
        <v>90</v>
      </c>
      <c r="O112" t="s">
        <v>529</v>
      </c>
      <c r="P112" t="s">
        <v>472</v>
      </c>
      <c r="Q112" t="s">
        <v>307</v>
      </c>
      <c r="R112" t="s">
        <v>305</v>
      </c>
      <c r="S112" t="s">
        <v>493</v>
      </c>
      <c r="T112" t="s">
        <v>483</v>
      </c>
      <c r="U112" t="s">
        <v>483</v>
      </c>
      <c r="V112">
        <f>IFERROR(VLOOKUP(Rotas_Geral[[#This Row],[Nome Loja]],#REF!,3,0),0)</f>
        <v>0</v>
      </c>
      <c r="W112">
        <f>IFERROR(VLOOKUP(Rotas_Geral[[#This Row],[Nome Loja]],#REF!,4,0),0)</f>
        <v>0</v>
      </c>
      <c r="X112">
        <f>IFERROR(VLOOKUP(Rotas_Geral[[#This Row],[Nome Loja]],#REF!,3,0),0)</f>
        <v>0</v>
      </c>
      <c r="Y112">
        <f>IFERROR(VLOOKUP(Rotas_Geral[[#This Row],[Nome Loja]],#REF!,4,0),0)</f>
        <v>0</v>
      </c>
    </row>
    <row r="113" spans="1:25" ht="15.6" x14ac:dyDescent="0.3">
      <c r="A113" s="65">
        <v>1303</v>
      </c>
      <c r="B113" s="65">
        <v>96</v>
      </c>
      <c r="C113" s="65" t="s">
        <v>191</v>
      </c>
      <c r="D113" s="65" t="s">
        <v>192</v>
      </c>
      <c r="E113" s="66" t="s">
        <v>76</v>
      </c>
      <c r="F113" s="66" t="s">
        <v>103</v>
      </c>
      <c r="G113" s="67" t="s">
        <v>382</v>
      </c>
      <c r="H113" s="67" t="s">
        <v>109</v>
      </c>
      <c r="J113">
        <v>434</v>
      </c>
      <c r="K113" t="s">
        <v>155</v>
      </c>
      <c r="L113" t="s">
        <v>155</v>
      </c>
      <c r="M113" t="s">
        <v>64</v>
      </c>
      <c r="N113" t="s">
        <v>64</v>
      </c>
      <c r="O113" t="s">
        <v>529</v>
      </c>
      <c r="P113" t="s">
        <v>472</v>
      </c>
      <c r="Q113" t="s">
        <v>307</v>
      </c>
      <c r="R113" t="s">
        <v>305</v>
      </c>
      <c r="S113" t="s">
        <v>479</v>
      </c>
      <c r="T113" t="s">
        <v>483</v>
      </c>
      <c r="U113" t="s">
        <v>483</v>
      </c>
      <c r="V113">
        <f>IFERROR(VLOOKUP(Rotas_Geral[[#This Row],[Nome Loja]],#REF!,3,0),0)</f>
        <v>0</v>
      </c>
      <c r="W113">
        <f>IFERROR(VLOOKUP(Rotas_Geral[[#This Row],[Nome Loja]],#REF!,4,0),0)</f>
        <v>0</v>
      </c>
      <c r="X113">
        <f>IFERROR(VLOOKUP(Rotas_Geral[[#This Row],[Nome Loja]],#REF!,3,0),0)</f>
        <v>0</v>
      </c>
      <c r="Y113">
        <f>IFERROR(VLOOKUP(Rotas_Geral[[#This Row],[Nome Loja]],#REF!,4,0),0)</f>
        <v>0</v>
      </c>
    </row>
    <row r="114" spans="1:25" ht="15.6" x14ac:dyDescent="0.3">
      <c r="A114" s="65">
        <v>1302</v>
      </c>
      <c r="B114" s="65">
        <v>19</v>
      </c>
      <c r="C114" s="65" t="s">
        <v>177</v>
      </c>
      <c r="D114" s="65" t="s">
        <v>178</v>
      </c>
      <c r="E114" s="66" t="s">
        <v>60</v>
      </c>
      <c r="F114" s="66" t="s">
        <v>103</v>
      </c>
      <c r="G114" s="67" t="s">
        <v>382</v>
      </c>
      <c r="H114" s="67" t="s">
        <v>109</v>
      </c>
      <c r="J114">
        <v>435</v>
      </c>
      <c r="K114" t="s">
        <v>156</v>
      </c>
      <c r="L114" t="s">
        <v>157</v>
      </c>
      <c r="M114" t="s">
        <v>90</v>
      </c>
      <c r="N114" t="s">
        <v>90</v>
      </c>
      <c r="O114" t="s">
        <v>529</v>
      </c>
      <c r="P114" t="s">
        <v>472</v>
      </c>
      <c r="Q114" t="s">
        <v>307</v>
      </c>
      <c r="R114" t="s">
        <v>305</v>
      </c>
      <c r="S114" t="s">
        <v>493</v>
      </c>
      <c r="T114" t="s">
        <v>483</v>
      </c>
      <c r="U114" t="s">
        <v>483</v>
      </c>
      <c r="V114">
        <f>IFERROR(VLOOKUP(Rotas_Geral[[#This Row],[Nome Loja]],#REF!,3,0),0)</f>
        <v>0</v>
      </c>
      <c r="W114">
        <f>IFERROR(VLOOKUP(Rotas_Geral[[#This Row],[Nome Loja]],#REF!,4,0),0)</f>
        <v>0</v>
      </c>
      <c r="X114">
        <f>IFERROR(VLOOKUP(Rotas_Geral[[#This Row],[Nome Loja]],#REF!,3,0),0)</f>
        <v>0</v>
      </c>
      <c r="Y114">
        <f>IFERROR(VLOOKUP(Rotas_Geral[[#This Row],[Nome Loja]],#REF!,4,0),0)</f>
        <v>0</v>
      </c>
    </row>
    <row r="115" spans="1:25" ht="15.6" x14ac:dyDescent="0.3">
      <c r="A115" s="65">
        <v>2044</v>
      </c>
      <c r="B115" s="65">
        <v>8</v>
      </c>
      <c r="C115" s="65" t="s">
        <v>167</v>
      </c>
      <c r="D115" s="65" t="s">
        <v>168</v>
      </c>
      <c r="E115" s="66" t="s">
        <v>88</v>
      </c>
      <c r="F115" s="66" t="s">
        <v>103</v>
      </c>
      <c r="G115" s="67" t="s">
        <v>382</v>
      </c>
      <c r="H115" s="67" t="s">
        <v>109</v>
      </c>
      <c r="J115">
        <v>436</v>
      </c>
      <c r="K115" t="s">
        <v>271</v>
      </c>
      <c r="L115" t="s">
        <v>272</v>
      </c>
      <c r="M115" t="s">
        <v>90</v>
      </c>
      <c r="N115" t="s">
        <v>90</v>
      </c>
      <c r="O115" t="s">
        <v>529</v>
      </c>
      <c r="P115" t="s">
        <v>472</v>
      </c>
      <c r="Q115" t="s">
        <v>307</v>
      </c>
      <c r="R115" t="s">
        <v>305</v>
      </c>
      <c r="S115" t="s">
        <v>493</v>
      </c>
      <c r="T115" t="s">
        <v>483</v>
      </c>
      <c r="U115" t="s">
        <v>483</v>
      </c>
      <c r="V115">
        <f>IFERROR(VLOOKUP(Rotas_Geral[[#This Row],[Nome Loja]],#REF!,3,0),0)</f>
        <v>0</v>
      </c>
      <c r="W115">
        <f>IFERROR(VLOOKUP(Rotas_Geral[[#This Row],[Nome Loja]],#REF!,4,0),0)</f>
        <v>0</v>
      </c>
      <c r="X115">
        <f>IFERROR(VLOOKUP(Rotas_Geral[[#This Row],[Nome Loja]],#REF!,3,0),0)</f>
        <v>0</v>
      </c>
      <c r="Y115">
        <f>IFERROR(VLOOKUP(Rotas_Geral[[#This Row],[Nome Loja]],#REF!,4,0),0)</f>
        <v>0</v>
      </c>
    </row>
    <row r="116" spans="1:25" ht="15.6" x14ac:dyDescent="0.3">
      <c r="A116" s="65">
        <v>2043</v>
      </c>
      <c r="B116" s="65">
        <v>12</v>
      </c>
      <c r="C116" s="65" t="s">
        <v>171</v>
      </c>
      <c r="D116" s="65" t="s">
        <v>172</v>
      </c>
      <c r="E116" s="66" t="s">
        <v>70</v>
      </c>
      <c r="F116" s="66" t="s">
        <v>103</v>
      </c>
      <c r="G116" s="67" t="s">
        <v>382</v>
      </c>
      <c r="H116" s="67" t="s">
        <v>109</v>
      </c>
      <c r="J116">
        <v>437</v>
      </c>
      <c r="K116" t="s">
        <v>283</v>
      </c>
      <c r="L116" t="s">
        <v>284</v>
      </c>
      <c r="M116" t="s">
        <v>90</v>
      </c>
      <c r="N116" t="s">
        <v>90</v>
      </c>
      <c r="O116" t="s">
        <v>529</v>
      </c>
      <c r="P116" t="s">
        <v>223</v>
      </c>
      <c r="Q116" t="s">
        <v>307</v>
      </c>
      <c r="R116" t="s">
        <v>485</v>
      </c>
      <c r="S116" t="s">
        <v>493</v>
      </c>
      <c r="T116" t="s">
        <v>483</v>
      </c>
      <c r="U116" t="s">
        <v>483</v>
      </c>
      <c r="V116">
        <f>IFERROR(VLOOKUP(Rotas_Geral[[#This Row],[Nome Loja]],#REF!,3,0),0)</f>
        <v>0</v>
      </c>
      <c r="W116">
        <f>IFERROR(VLOOKUP(Rotas_Geral[[#This Row],[Nome Loja]],#REF!,4,0),0)</f>
        <v>0</v>
      </c>
      <c r="X116">
        <f>IFERROR(VLOOKUP(Rotas_Geral[[#This Row],[Nome Loja]],#REF!,3,0),0)</f>
        <v>0</v>
      </c>
      <c r="Y116">
        <f>IFERROR(VLOOKUP(Rotas_Geral[[#This Row],[Nome Loja]],#REF!,4,0),0)</f>
        <v>0</v>
      </c>
    </row>
    <row r="117" spans="1:25" ht="15.6" x14ac:dyDescent="0.3">
      <c r="A117" s="65">
        <v>14460</v>
      </c>
      <c r="B117" s="65">
        <v>18</v>
      </c>
      <c r="C117" s="65" t="s">
        <v>175</v>
      </c>
      <c r="D117" s="65" t="s">
        <v>176</v>
      </c>
      <c r="E117" s="66" t="s">
        <v>357</v>
      </c>
      <c r="F117" s="66" t="s">
        <v>103</v>
      </c>
      <c r="G117" s="67" t="s">
        <v>382</v>
      </c>
      <c r="H117" s="67" t="s">
        <v>109</v>
      </c>
      <c r="J117">
        <v>438</v>
      </c>
      <c r="K117" t="s">
        <v>242</v>
      </c>
      <c r="L117" t="s">
        <v>243</v>
      </c>
      <c r="M117" t="s">
        <v>90</v>
      </c>
      <c r="N117" t="s">
        <v>90</v>
      </c>
      <c r="O117" t="s">
        <v>529</v>
      </c>
      <c r="P117" t="s">
        <v>223</v>
      </c>
      <c r="Q117" t="s">
        <v>307</v>
      </c>
      <c r="R117" t="s">
        <v>298</v>
      </c>
      <c r="S117" t="s">
        <v>493</v>
      </c>
      <c r="T117" t="s">
        <v>483</v>
      </c>
      <c r="U117" t="s">
        <v>483</v>
      </c>
      <c r="V117">
        <f>IFERROR(VLOOKUP(Rotas_Geral[[#This Row],[Nome Loja]],#REF!,3,0),0)</f>
        <v>0</v>
      </c>
      <c r="W117">
        <f>IFERROR(VLOOKUP(Rotas_Geral[[#This Row],[Nome Loja]],#REF!,4,0),0)</f>
        <v>0</v>
      </c>
      <c r="X117">
        <f>IFERROR(VLOOKUP(Rotas_Geral[[#This Row],[Nome Loja]],#REF!,3,0),0)</f>
        <v>0</v>
      </c>
      <c r="Y117">
        <f>IFERROR(VLOOKUP(Rotas_Geral[[#This Row],[Nome Loja]],#REF!,4,0),0)</f>
        <v>0</v>
      </c>
    </row>
    <row r="118" spans="1:25" ht="15.6" x14ac:dyDescent="0.3">
      <c r="A118" s="65">
        <v>14715</v>
      </c>
      <c r="B118" s="65">
        <v>93</v>
      </c>
      <c r="C118" s="65" t="s">
        <v>189</v>
      </c>
      <c r="D118" s="65" t="s">
        <v>190</v>
      </c>
      <c r="E118" s="66" t="s">
        <v>74</v>
      </c>
      <c r="F118" s="66" t="s">
        <v>103</v>
      </c>
      <c r="G118" s="67" t="s">
        <v>382</v>
      </c>
      <c r="H118" s="67" t="s">
        <v>109</v>
      </c>
      <c r="J118">
        <v>439</v>
      </c>
      <c r="K118" t="s">
        <v>158</v>
      </c>
      <c r="L118" t="s">
        <v>159</v>
      </c>
      <c r="M118" t="s">
        <v>354</v>
      </c>
      <c r="N118" t="s">
        <v>90</v>
      </c>
      <c r="O118" t="s">
        <v>529</v>
      </c>
      <c r="P118" t="s">
        <v>472</v>
      </c>
      <c r="Q118" t="s">
        <v>307</v>
      </c>
      <c r="R118" t="s">
        <v>305</v>
      </c>
      <c r="S118" t="s">
        <v>479</v>
      </c>
      <c r="T118" t="s">
        <v>483</v>
      </c>
      <c r="U118" t="s">
        <v>483</v>
      </c>
      <c r="V118">
        <f>IFERROR(VLOOKUP(Rotas_Geral[[#This Row],[Nome Loja]],#REF!,3,0),0)</f>
        <v>0</v>
      </c>
      <c r="W118">
        <f>IFERROR(VLOOKUP(Rotas_Geral[[#This Row],[Nome Loja]],#REF!,4,0),0)</f>
        <v>0</v>
      </c>
      <c r="X118">
        <f>IFERROR(VLOOKUP(Rotas_Geral[[#This Row],[Nome Loja]],#REF!,3,0),0)</f>
        <v>0</v>
      </c>
      <c r="Y118">
        <f>IFERROR(VLOOKUP(Rotas_Geral[[#This Row],[Nome Loja]],#REF!,4,0),0)</f>
        <v>0</v>
      </c>
    </row>
    <row r="119" spans="1:25" ht="15.6" x14ac:dyDescent="0.3">
      <c r="A119" s="65">
        <v>14465</v>
      </c>
      <c r="B119" s="65">
        <v>415</v>
      </c>
      <c r="C119" s="65" t="s">
        <v>212</v>
      </c>
      <c r="D119" s="65" t="s">
        <v>213</v>
      </c>
      <c r="E119" s="66" t="s">
        <v>75</v>
      </c>
      <c r="F119" s="66" t="s">
        <v>103</v>
      </c>
      <c r="G119" s="67" t="s">
        <v>382</v>
      </c>
      <c r="H119" s="67" t="s">
        <v>109</v>
      </c>
      <c r="J119">
        <v>445</v>
      </c>
      <c r="K119" t="s">
        <v>160</v>
      </c>
      <c r="L119" t="s">
        <v>161</v>
      </c>
      <c r="M119" t="s">
        <v>354</v>
      </c>
      <c r="N119" t="s">
        <v>354</v>
      </c>
      <c r="O119" t="s">
        <v>529</v>
      </c>
      <c r="P119" t="s">
        <v>472</v>
      </c>
      <c r="Q119" t="s">
        <v>307</v>
      </c>
      <c r="R119" t="s">
        <v>305</v>
      </c>
      <c r="S119" t="s">
        <v>479</v>
      </c>
      <c r="T119" t="s">
        <v>483</v>
      </c>
      <c r="U119" t="s">
        <v>483</v>
      </c>
      <c r="V119">
        <f>IFERROR(VLOOKUP(Rotas_Geral[[#This Row],[Nome Loja]],#REF!,3,0),0)</f>
        <v>0</v>
      </c>
      <c r="W119">
        <f>IFERROR(VLOOKUP(Rotas_Geral[[#This Row],[Nome Loja]],#REF!,4,0),0)</f>
        <v>0</v>
      </c>
      <c r="X119">
        <f>IFERROR(VLOOKUP(Rotas_Geral[[#This Row],[Nome Loja]],#REF!,3,0),0)</f>
        <v>0</v>
      </c>
      <c r="Y119">
        <f>IFERROR(VLOOKUP(Rotas_Geral[[#This Row],[Nome Loja]],#REF!,4,0),0)</f>
        <v>0</v>
      </c>
    </row>
    <row r="120" spans="1:25" ht="15.6" x14ac:dyDescent="0.3">
      <c r="A120" s="65">
        <v>2008</v>
      </c>
      <c r="B120" s="65">
        <v>418</v>
      </c>
      <c r="C120" s="65" t="s">
        <v>214</v>
      </c>
      <c r="D120" s="65" t="s">
        <v>215</v>
      </c>
      <c r="E120" s="66" t="s">
        <v>60</v>
      </c>
      <c r="F120" s="66" t="s">
        <v>103</v>
      </c>
      <c r="G120" s="67" t="s">
        <v>382</v>
      </c>
      <c r="H120" s="67" t="s">
        <v>109</v>
      </c>
      <c r="J120">
        <v>446</v>
      </c>
      <c r="K120" t="s">
        <v>296</v>
      </c>
      <c r="L120" t="s">
        <v>296</v>
      </c>
      <c r="M120" t="s">
        <v>90</v>
      </c>
      <c r="N120" t="s">
        <v>90</v>
      </c>
      <c r="O120" t="s">
        <v>529</v>
      </c>
      <c r="P120" t="s">
        <v>472</v>
      </c>
      <c r="Q120" t="s">
        <v>307</v>
      </c>
      <c r="R120" t="s">
        <v>305</v>
      </c>
      <c r="S120" t="s">
        <v>479</v>
      </c>
      <c r="T120" t="s">
        <v>483</v>
      </c>
      <c r="U120" t="s">
        <v>483</v>
      </c>
      <c r="V120">
        <f>IFERROR(VLOOKUP(Rotas_Geral[[#This Row],[Nome Loja]],#REF!,3,0),0)</f>
        <v>0</v>
      </c>
      <c r="W120">
        <f>IFERROR(VLOOKUP(Rotas_Geral[[#This Row],[Nome Loja]],#REF!,4,0),0)</f>
        <v>0</v>
      </c>
      <c r="X120">
        <f>IFERROR(VLOOKUP(Rotas_Geral[[#This Row],[Nome Loja]],#REF!,3,0),0)</f>
        <v>0</v>
      </c>
      <c r="Y120">
        <f>IFERROR(VLOOKUP(Rotas_Geral[[#This Row],[Nome Loja]],#REF!,4,0),0)</f>
        <v>0</v>
      </c>
    </row>
    <row r="121" spans="1:25" ht="15.6" x14ac:dyDescent="0.3">
      <c r="A121" s="65"/>
      <c r="B121" s="65">
        <v>425</v>
      </c>
      <c r="C121" s="65" t="s">
        <v>216</v>
      </c>
      <c r="D121" s="65" t="s">
        <v>217</v>
      </c>
      <c r="E121" s="66" t="s">
        <v>75</v>
      </c>
      <c r="F121" s="66" t="s">
        <v>103</v>
      </c>
      <c r="G121" s="67"/>
      <c r="H121" s="67"/>
      <c r="J121">
        <v>447</v>
      </c>
      <c r="K121" t="s">
        <v>162</v>
      </c>
      <c r="L121" t="s">
        <v>163</v>
      </c>
      <c r="M121" t="s">
        <v>64</v>
      </c>
      <c r="N121" t="s">
        <v>64</v>
      </c>
      <c r="O121" t="s">
        <v>529</v>
      </c>
      <c r="P121" t="s">
        <v>472</v>
      </c>
      <c r="Q121" t="s">
        <v>307</v>
      </c>
      <c r="R121" t="s">
        <v>305</v>
      </c>
      <c r="S121" t="s">
        <v>479</v>
      </c>
      <c r="T121" t="s">
        <v>483</v>
      </c>
      <c r="U121" t="s">
        <v>483</v>
      </c>
      <c r="V121">
        <f>IFERROR(VLOOKUP(Rotas_Geral[[#This Row],[Nome Loja]],#REF!,3,0),0)</f>
        <v>0</v>
      </c>
      <c r="W121">
        <f>IFERROR(VLOOKUP(Rotas_Geral[[#This Row],[Nome Loja]],#REF!,4,0),0)</f>
        <v>0</v>
      </c>
      <c r="X121">
        <f>IFERROR(VLOOKUP(Rotas_Geral[[#This Row],[Nome Loja]],#REF!,3,0),0)</f>
        <v>0</v>
      </c>
      <c r="Y121">
        <f>IFERROR(VLOOKUP(Rotas_Geral[[#This Row],[Nome Loja]],#REF!,4,0),0)</f>
        <v>0</v>
      </c>
    </row>
    <row r="122" spans="1:25" ht="15.6" x14ac:dyDescent="0.3">
      <c r="A122" s="65"/>
      <c r="B122" s="65">
        <v>200</v>
      </c>
      <c r="C122" s="65" t="s">
        <v>193</v>
      </c>
      <c r="D122" s="65" t="s">
        <v>194</v>
      </c>
      <c r="E122" s="66" t="s">
        <v>357</v>
      </c>
      <c r="F122" s="66" t="s">
        <v>103</v>
      </c>
      <c r="G122" s="67"/>
      <c r="H122" s="67"/>
      <c r="J122">
        <v>449</v>
      </c>
      <c r="K122" t="s">
        <v>301</v>
      </c>
      <c r="L122" t="s">
        <v>301</v>
      </c>
      <c r="M122" t="s">
        <v>90</v>
      </c>
      <c r="N122" t="s">
        <v>90</v>
      </c>
      <c r="O122" t="s">
        <v>529</v>
      </c>
      <c r="P122" t="s">
        <v>223</v>
      </c>
      <c r="Q122" t="s">
        <v>307</v>
      </c>
      <c r="R122" t="s">
        <v>368</v>
      </c>
      <c r="S122" t="s">
        <v>493</v>
      </c>
      <c r="T122" t="s">
        <v>483</v>
      </c>
      <c r="U122" t="s">
        <v>483</v>
      </c>
      <c r="V122">
        <f>IFERROR(VLOOKUP(Rotas_Geral[[#This Row],[Nome Loja]],#REF!,3,0),0)</f>
        <v>0</v>
      </c>
      <c r="W122">
        <f>IFERROR(VLOOKUP(Rotas_Geral[[#This Row],[Nome Loja]],#REF!,4,0),0)</f>
        <v>0</v>
      </c>
      <c r="X122">
        <f>IFERROR(VLOOKUP(Rotas_Geral[[#This Row],[Nome Loja]],#REF!,3,0),0)</f>
        <v>0</v>
      </c>
      <c r="Y122">
        <f>IFERROR(VLOOKUP(Rotas_Geral[[#This Row],[Nome Loja]],#REF!,4,0),0)</f>
        <v>0</v>
      </c>
    </row>
    <row r="123" spans="1:25" ht="15.6" x14ac:dyDescent="0.3">
      <c r="A123" s="65"/>
      <c r="B123" s="65">
        <v>201</v>
      </c>
      <c r="C123" s="65" t="s">
        <v>195</v>
      </c>
      <c r="D123" s="65" t="s">
        <v>195</v>
      </c>
      <c r="E123" s="66" t="s">
        <v>357</v>
      </c>
      <c r="F123" s="66" t="s">
        <v>103</v>
      </c>
      <c r="G123" s="67"/>
      <c r="H123" s="67"/>
      <c r="J123">
        <v>450</v>
      </c>
      <c r="K123" t="s">
        <v>295</v>
      </c>
      <c r="L123" t="s">
        <v>295</v>
      </c>
      <c r="M123" t="s">
        <v>90</v>
      </c>
      <c r="N123" t="s">
        <v>90</v>
      </c>
      <c r="O123" t="s">
        <v>529</v>
      </c>
      <c r="P123" t="s">
        <v>472</v>
      </c>
      <c r="Q123" t="s">
        <v>307</v>
      </c>
      <c r="R123" t="s">
        <v>305</v>
      </c>
      <c r="S123" t="s">
        <v>479</v>
      </c>
      <c r="T123" t="s">
        <v>483</v>
      </c>
      <c r="U123" t="s">
        <v>483</v>
      </c>
      <c r="V123">
        <f>IFERROR(VLOOKUP(Rotas_Geral[[#This Row],[Nome Loja]],#REF!,3,0),0)</f>
        <v>0</v>
      </c>
      <c r="W123">
        <f>IFERROR(VLOOKUP(Rotas_Geral[[#This Row],[Nome Loja]],#REF!,4,0),0)</f>
        <v>0</v>
      </c>
      <c r="X123">
        <f>IFERROR(VLOOKUP(Rotas_Geral[[#This Row],[Nome Loja]],#REF!,3,0),0)</f>
        <v>0</v>
      </c>
      <c r="Y123">
        <f>IFERROR(VLOOKUP(Rotas_Geral[[#This Row],[Nome Loja]],#REF!,4,0),0)</f>
        <v>0</v>
      </c>
    </row>
    <row r="124" spans="1:25" ht="15.6" x14ac:dyDescent="0.3">
      <c r="A124" s="65"/>
      <c r="B124" s="65">
        <v>467</v>
      </c>
      <c r="C124" s="65" t="s">
        <v>410</v>
      </c>
      <c r="D124" s="65" t="s">
        <v>410</v>
      </c>
      <c r="E124" s="66" t="s">
        <v>391</v>
      </c>
      <c r="F124" s="66" t="s">
        <v>116</v>
      </c>
      <c r="G124" s="67"/>
      <c r="H124" s="67"/>
      <c r="J124">
        <v>451</v>
      </c>
      <c r="K124" t="s">
        <v>292</v>
      </c>
      <c r="L124" t="s">
        <v>292</v>
      </c>
      <c r="M124" t="s">
        <v>354</v>
      </c>
      <c r="N124" t="s">
        <v>354</v>
      </c>
      <c r="O124" t="s">
        <v>529</v>
      </c>
      <c r="P124" t="s">
        <v>472</v>
      </c>
      <c r="Q124" t="s">
        <v>307</v>
      </c>
      <c r="R124" t="s">
        <v>305</v>
      </c>
      <c r="S124" t="s">
        <v>479</v>
      </c>
      <c r="T124" t="s">
        <v>483</v>
      </c>
      <c r="U124" t="s">
        <v>483</v>
      </c>
      <c r="V124">
        <f>IFERROR(VLOOKUP(Rotas_Geral[[#This Row],[Nome Loja]],#REF!,3,0),0)</f>
        <v>0</v>
      </c>
      <c r="W124">
        <f>IFERROR(VLOOKUP(Rotas_Geral[[#This Row],[Nome Loja]],#REF!,4,0),0)</f>
        <v>0</v>
      </c>
      <c r="X124">
        <f>IFERROR(VLOOKUP(Rotas_Geral[[#This Row],[Nome Loja]],#REF!,3,0),0)</f>
        <v>0</v>
      </c>
      <c r="Y124">
        <f>IFERROR(VLOOKUP(Rotas_Geral[[#This Row],[Nome Loja]],#REF!,4,0),0)</f>
        <v>0</v>
      </c>
    </row>
    <row r="125" spans="1:25" ht="15.6" x14ac:dyDescent="0.3">
      <c r="A125" s="65"/>
      <c r="B125" s="65">
        <v>106</v>
      </c>
      <c r="C125" s="65" t="s">
        <v>368</v>
      </c>
      <c r="D125" s="65" t="s">
        <v>368</v>
      </c>
      <c r="E125" s="66" t="s">
        <v>386</v>
      </c>
      <c r="F125" s="66" t="s">
        <v>297</v>
      </c>
      <c r="G125" s="67"/>
      <c r="H125" s="67"/>
      <c r="J125">
        <v>452</v>
      </c>
      <c r="K125" t="s">
        <v>164</v>
      </c>
      <c r="L125" t="s">
        <v>164</v>
      </c>
      <c r="M125" t="s">
        <v>90</v>
      </c>
      <c r="N125" t="s">
        <v>90</v>
      </c>
      <c r="O125" t="s">
        <v>529</v>
      </c>
      <c r="P125" t="s">
        <v>472</v>
      </c>
      <c r="Q125" t="s">
        <v>307</v>
      </c>
      <c r="R125" t="s">
        <v>305</v>
      </c>
      <c r="S125" t="s">
        <v>479</v>
      </c>
      <c r="T125" t="s">
        <v>483</v>
      </c>
      <c r="U125" t="s">
        <v>483</v>
      </c>
      <c r="V125">
        <f>IFERROR(VLOOKUP(Rotas_Geral[[#This Row],[Nome Loja]],#REF!,3,0),0)</f>
        <v>0</v>
      </c>
      <c r="W125">
        <f>IFERROR(VLOOKUP(Rotas_Geral[[#This Row],[Nome Loja]],#REF!,4,0),0)</f>
        <v>0</v>
      </c>
      <c r="X125">
        <f>IFERROR(VLOOKUP(Rotas_Geral[[#This Row],[Nome Loja]],#REF!,3,0),0)</f>
        <v>0</v>
      </c>
      <c r="Y125">
        <f>IFERROR(VLOOKUP(Rotas_Geral[[#This Row],[Nome Loja]],#REF!,4,0),0)</f>
        <v>0</v>
      </c>
    </row>
    <row r="126" spans="1:25" ht="15.6" x14ac:dyDescent="0.3">
      <c r="A126" s="65"/>
      <c r="B126" s="65">
        <v>12576</v>
      </c>
      <c r="C126" s="65" t="s">
        <v>411</v>
      </c>
      <c r="D126" s="65" t="s">
        <v>412</v>
      </c>
      <c r="E126" s="66" t="s">
        <v>391</v>
      </c>
      <c r="F126" s="66" t="s">
        <v>391</v>
      </c>
      <c r="G126" s="67"/>
      <c r="H126" s="67"/>
      <c r="J126">
        <v>453</v>
      </c>
      <c r="K126" t="s">
        <v>291</v>
      </c>
      <c r="L126" t="s">
        <v>291</v>
      </c>
      <c r="M126" t="s">
        <v>90</v>
      </c>
      <c r="N126" t="s">
        <v>90</v>
      </c>
      <c r="O126" t="s">
        <v>529</v>
      </c>
      <c r="P126" t="s">
        <v>223</v>
      </c>
      <c r="Q126" t="s">
        <v>307</v>
      </c>
      <c r="R126" t="s">
        <v>485</v>
      </c>
      <c r="S126" t="s">
        <v>493</v>
      </c>
      <c r="T126" t="s">
        <v>483</v>
      </c>
      <c r="U126" t="s">
        <v>483</v>
      </c>
      <c r="V126">
        <f>IFERROR(VLOOKUP(Rotas_Geral[[#This Row],[Nome Loja]],#REF!,3,0),0)</f>
        <v>0</v>
      </c>
      <c r="W126">
        <f>IFERROR(VLOOKUP(Rotas_Geral[[#This Row],[Nome Loja]],#REF!,4,0),0)</f>
        <v>0</v>
      </c>
      <c r="X126">
        <f>IFERROR(VLOOKUP(Rotas_Geral[[#This Row],[Nome Loja]],#REF!,3,0),0)</f>
        <v>0</v>
      </c>
      <c r="Y126">
        <f>IFERROR(VLOOKUP(Rotas_Geral[[#This Row],[Nome Loja]],#REF!,4,0),0)</f>
        <v>0</v>
      </c>
    </row>
    <row r="127" spans="1:25" ht="15.6" x14ac:dyDescent="0.3">
      <c r="A127" s="65"/>
      <c r="B127" s="65">
        <v>13471</v>
      </c>
      <c r="C127" s="65" t="s">
        <v>413</v>
      </c>
      <c r="D127" s="65" t="s">
        <v>414</v>
      </c>
      <c r="E127" s="66" t="s">
        <v>391</v>
      </c>
      <c r="F127" s="66" t="s">
        <v>391</v>
      </c>
      <c r="G127" s="67"/>
      <c r="H127" s="67"/>
      <c r="J127">
        <v>454</v>
      </c>
      <c r="K127" t="s">
        <v>420</v>
      </c>
      <c r="L127" t="s">
        <v>420</v>
      </c>
      <c r="M127" t="s">
        <v>90</v>
      </c>
      <c r="N127" t="s">
        <v>90</v>
      </c>
      <c r="O127" t="s">
        <v>529</v>
      </c>
      <c r="P127" t="s">
        <v>472</v>
      </c>
      <c r="Q127" t="s">
        <v>307</v>
      </c>
      <c r="R127" t="s">
        <v>305</v>
      </c>
      <c r="S127" t="s">
        <v>493</v>
      </c>
      <c r="T127" t="s">
        <v>483</v>
      </c>
      <c r="U127" t="s">
        <v>483</v>
      </c>
      <c r="V127">
        <f>IFERROR(VLOOKUP(Rotas_Geral[[#This Row],[Nome Loja]],#REF!,3,0),0)</f>
        <v>0</v>
      </c>
      <c r="W127">
        <f>IFERROR(VLOOKUP(Rotas_Geral[[#This Row],[Nome Loja]],#REF!,4,0),0)</f>
        <v>0</v>
      </c>
      <c r="X127">
        <f>IFERROR(VLOOKUP(Rotas_Geral[[#This Row],[Nome Loja]],#REF!,3,0),0)</f>
        <v>0</v>
      </c>
      <c r="Y127">
        <f>IFERROR(VLOOKUP(Rotas_Geral[[#This Row],[Nome Loja]],#REF!,4,0),0)</f>
        <v>0</v>
      </c>
    </row>
    <row r="128" spans="1:25" ht="15.6" x14ac:dyDescent="0.3">
      <c r="A128" s="65"/>
      <c r="B128" s="65">
        <v>19376</v>
      </c>
      <c r="C128" s="65" t="s">
        <v>415</v>
      </c>
      <c r="D128" s="65" t="s">
        <v>416</v>
      </c>
      <c r="E128" s="66" t="s">
        <v>391</v>
      </c>
      <c r="F128" s="66" t="s">
        <v>391</v>
      </c>
      <c r="G128" s="67"/>
      <c r="H128" s="67"/>
      <c r="J128">
        <v>457</v>
      </c>
      <c r="K128" t="s">
        <v>421</v>
      </c>
      <c r="L128" t="s">
        <v>421</v>
      </c>
      <c r="M128" t="s">
        <v>90</v>
      </c>
      <c r="N128" t="s">
        <v>90</v>
      </c>
      <c r="O128" t="s">
        <v>529</v>
      </c>
      <c r="P128" t="s">
        <v>472</v>
      </c>
      <c r="Q128" t="s">
        <v>307</v>
      </c>
      <c r="R128" t="s">
        <v>305</v>
      </c>
      <c r="S128" t="s">
        <v>493</v>
      </c>
      <c r="T128" t="s">
        <v>483</v>
      </c>
      <c r="U128" t="s">
        <v>483</v>
      </c>
      <c r="V128">
        <f>IFERROR(VLOOKUP(Rotas_Geral[[#This Row],[Nome Loja]],#REF!,3,0),0)</f>
        <v>0</v>
      </c>
      <c r="W128">
        <f>IFERROR(VLOOKUP(Rotas_Geral[[#This Row],[Nome Loja]],#REF!,4,0),0)</f>
        <v>0</v>
      </c>
      <c r="X128">
        <f>IFERROR(VLOOKUP(Rotas_Geral[[#This Row],[Nome Loja]],#REF!,3,0),0)</f>
        <v>0</v>
      </c>
      <c r="Y128">
        <f>IFERROR(VLOOKUP(Rotas_Geral[[#This Row],[Nome Loja]],#REF!,4,0),0)</f>
        <v>0</v>
      </c>
    </row>
    <row r="129" spans="1:25" ht="15.6" x14ac:dyDescent="0.3">
      <c r="A129" s="65"/>
      <c r="B129" s="65">
        <v>269</v>
      </c>
      <c r="C129" s="65" t="s">
        <v>401</v>
      </c>
      <c r="D129" s="65" t="s">
        <v>402</v>
      </c>
      <c r="E129" s="66" t="s">
        <v>74</v>
      </c>
      <c r="F129" s="66" t="s">
        <v>103</v>
      </c>
      <c r="G129" s="67"/>
      <c r="H129" s="67"/>
      <c r="J129">
        <v>458</v>
      </c>
      <c r="K129" t="s">
        <v>405</v>
      </c>
      <c r="L129" t="s">
        <v>405</v>
      </c>
      <c r="M129" t="s">
        <v>90</v>
      </c>
      <c r="N129" t="s">
        <v>90</v>
      </c>
      <c r="O129" t="s">
        <v>529</v>
      </c>
      <c r="P129" t="s">
        <v>223</v>
      </c>
      <c r="Q129" t="s">
        <v>307</v>
      </c>
      <c r="R129" t="s">
        <v>305</v>
      </c>
      <c r="S129" t="s">
        <v>493</v>
      </c>
      <c r="T129" t="s">
        <v>483</v>
      </c>
      <c r="U129" t="s">
        <v>486</v>
      </c>
      <c r="V129">
        <f>IFERROR(VLOOKUP(Rotas_Geral[[#This Row],[Nome Loja]],#REF!,3,0),0)</f>
        <v>0</v>
      </c>
      <c r="W129">
        <f>IFERROR(VLOOKUP(Rotas_Geral[[#This Row],[Nome Loja]],#REF!,4,0),0)</f>
        <v>0</v>
      </c>
      <c r="X129">
        <f>IFERROR(VLOOKUP(Rotas_Geral[[#This Row],[Nome Loja]],#REF!,3,0),0)</f>
        <v>0</v>
      </c>
      <c r="Y129">
        <f>IFERROR(VLOOKUP(Rotas_Geral[[#This Row],[Nome Loja]],#REF!,4,0),0)</f>
        <v>0</v>
      </c>
    </row>
    <row r="130" spans="1:25" ht="15.6" x14ac:dyDescent="0.3">
      <c r="A130" s="65"/>
      <c r="B130" s="65">
        <v>280</v>
      </c>
      <c r="C130" s="65" t="s">
        <v>419</v>
      </c>
      <c r="D130" s="65" t="s">
        <v>417</v>
      </c>
      <c r="E130" s="66" t="s">
        <v>90</v>
      </c>
      <c r="F130" s="66" t="s">
        <v>225</v>
      </c>
      <c r="G130" s="67"/>
      <c r="H130" s="67"/>
      <c r="J130">
        <v>459</v>
      </c>
      <c r="K130" t="s">
        <v>406</v>
      </c>
      <c r="L130" t="s">
        <v>406</v>
      </c>
      <c r="M130" t="s">
        <v>90</v>
      </c>
      <c r="N130" t="s">
        <v>90</v>
      </c>
      <c r="O130" t="s">
        <v>529</v>
      </c>
      <c r="P130" t="s">
        <v>472</v>
      </c>
      <c r="Q130" t="s">
        <v>307</v>
      </c>
      <c r="R130" t="s">
        <v>305</v>
      </c>
      <c r="S130" t="s">
        <v>493</v>
      </c>
      <c r="T130" t="s">
        <v>483</v>
      </c>
      <c r="U130" t="s">
        <v>486</v>
      </c>
      <c r="V130">
        <f>IFERROR(VLOOKUP(Rotas_Geral[[#This Row],[Nome Loja]],#REF!,3,0),0)</f>
        <v>0</v>
      </c>
      <c r="W130">
        <f>IFERROR(VLOOKUP(Rotas_Geral[[#This Row],[Nome Loja]],#REF!,4,0),0)</f>
        <v>0</v>
      </c>
      <c r="X130">
        <f>IFERROR(VLOOKUP(Rotas_Geral[[#This Row],[Nome Loja]],#REF!,3,0),0)</f>
        <v>0</v>
      </c>
      <c r="Y130">
        <f>IFERROR(VLOOKUP(Rotas_Geral[[#This Row],[Nome Loja]],#REF!,4,0),0)</f>
        <v>0</v>
      </c>
    </row>
    <row r="131" spans="1:25" ht="15.6" x14ac:dyDescent="0.3">
      <c r="A131" s="65"/>
      <c r="B131" s="65">
        <v>454</v>
      </c>
      <c r="C131" s="65" t="s">
        <v>420</v>
      </c>
      <c r="D131" s="65" t="s">
        <v>420</v>
      </c>
      <c r="E131" s="66" t="s">
        <v>391</v>
      </c>
      <c r="F131" s="66" t="s">
        <v>116</v>
      </c>
      <c r="G131" s="67"/>
      <c r="H131" s="67"/>
      <c r="J131">
        <v>461</v>
      </c>
      <c r="K131" t="s">
        <v>407</v>
      </c>
      <c r="L131" t="s">
        <v>407</v>
      </c>
      <c r="M131" t="s">
        <v>90</v>
      </c>
      <c r="N131" t="s">
        <v>90</v>
      </c>
      <c r="O131" t="s">
        <v>529</v>
      </c>
      <c r="P131" t="s">
        <v>472</v>
      </c>
      <c r="Q131" t="s">
        <v>307</v>
      </c>
      <c r="R131" t="s">
        <v>305</v>
      </c>
      <c r="S131" t="s">
        <v>479</v>
      </c>
      <c r="T131" t="s">
        <v>483</v>
      </c>
      <c r="U131" t="s">
        <v>483</v>
      </c>
      <c r="V131">
        <f>IFERROR(VLOOKUP(Rotas_Geral[[#This Row],[Nome Loja]],#REF!,3,0),0)</f>
        <v>0</v>
      </c>
      <c r="W131">
        <f>IFERROR(VLOOKUP(Rotas_Geral[[#This Row],[Nome Loja]],#REF!,4,0),0)</f>
        <v>0</v>
      </c>
      <c r="X131">
        <f>IFERROR(VLOOKUP(Rotas_Geral[[#This Row],[Nome Loja]],#REF!,3,0),0)</f>
        <v>0</v>
      </c>
      <c r="Y131">
        <f>IFERROR(VLOOKUP(Rotas_Geral[[#This Row],[Nome Loja]],#REF!,4,0),0)</f>
        <v>0</v>
      </c>
    </row>
    <row r="132" spans="1:25" ht="15.6" x14ac:dyDescent="0.3">
      <c r="A132" s="65"/>
      <c r="B132" s="65">
        <v>457</v>
      </c>
      <c r="C132" s="65" t="s">
        <v>421</v>
      </c>
      <c r="D132" s="65" t="s">
        <v>421</v>
      </c>
      <c r="E132" s="66" t="s">
        <v>391</v>
      </c>
      <c r="F132" s="66" t="s">
        <v>116</v>
      </c>
      <c r="G132" s="67"/>
      <c r="H132" s="67"/>
      <c r="J132">
        <v>463</v>
      </c>
      <c r="K132" t="s">
        <v>422</v>
      </c>
      <c r="L132" t="s">
        <v>422</v>
      </c>
      <c r="M132" t="s">
        <v>90</v>
      </c>
      <c r="N132" t="s">
        <v>90</v>
      </c>
      <c r="O132" t="s">
        <v>529</v>
      </c>
      <c r="P132" t="s">
        <v>223</v>
      </c>
      <c r="Q132" t="s">
        <v>307</v>
      </c>
      <c r="R132" t="s">
        <v>368</v>
      </c>
      <c r="S132" t="s">
        <v>493</v>
      </c>
      <c r="T132" t="s">
        <v>483</v>
      </c>
      <c r="U132" t="s">
        <v>486</v>
      </c>
      <c r="V132">
        <f>IFERROR(VLOOKUP(Rotas_Geral[[#This Row],[Nome Loja]],#REF!,3,0),0)</f>
        <v>0</v>
      </c>
      <c r="W132">
        <f>IFERROR(VLOOKUP(Rotas_Geral[[#This Row],[Nome Loja]],#REF!,4,0),0)</f>
        <v>0</v>
      </c>
      <c r="X132">
        <f>IFERROR(VLOOKUP(Rotas_Geral[[#This Row],[Nome Loja]],#REF!,3,0),0)</f>
        <v>0</v>
      </c>
      <c r="Y132">
        <f>IFERROR(VLOOKUP(Rotas_Geral[[#This Row],[Nome Loja]],#REF!,4,0),0)</f>
        <v>0</v>
      </c>
    </row>
    <row r="133" spans="1:25" ht="15.6" x14ac:dyDescent="0.3">
      <c r="A133" s="65"/>
      <c r="B133" s="65">
        <v>463</v>
      </c>
      <c r="C133" s="65" t="s">
        <v>422</v>
      </c>
      <c r="D133" s="65" t="s">
        <v>422</v>
      </c>
      <c r="E133" s="66" t="s">
        <v>391</v>
      </c>
      <c r="F133" s="66" t="s">
        <v>246</v>
      </c>
      <c r="G133" s="67"/>
      <c r="H133" s="67"/>
      <c r="J133">
        <v>464</v>
      </c>
      <c r="K133" t="s">
        <v>408</v>
      </c>
      <c r="L133" t="s">
        <v>408</v>
      </c>
      <c r="M133" t="s">
        <v>90</v>
      </c>
      <c r="N133" t="s">
        <v>90</v>
      </c>
      <c r="O133" t="s">
        <v>529</v>
      </c>
      <c r="P133" t="s">
        <v>223</v>
      </c>
      <c r="Q133" t="s">
        <v>307</v>
      </c>
      <c r="R133" t="s">
        <v>368</v>
      </c>
      <c r="S133" t="s">
        <v>493</v>
      </c>
      <c r="T133" t="s">
        <v>483</v>
      </c>
      <c r="U133" t="s">
        <v>486</v>
      </c>
      <c r="V133">
        <f>IFERROR(VLOOKUP(Rotas_Geral[[#This Row],[Nome Loja]],#REF!,3,0),0)</f>
        <v>0</v>
      </c>
      <c r="W133">
        <f>IFERROR(VLOOKUP(Rotas_Geral[[#This Row],[Nome Loja]],#REF!,4,0),0)</f>
        <v>0</v>
      </c>
      <c r="X133">
        <f>IFERROR(VLOOKUP(Rotas_Geral[[#This Row],[Nome Loja]],#REF!,3,0),0)</f>
        <v>0</v>
      </c>
      <c r="Y133">
        <f>IFERROR(VLOOKUP(Rotas_Geral[[#This Row],[Nome Loja]],#REF!,4,0),0)</f>
        <v>0</v>
      </c>
    </row>
    <row r="134" spans="1:25" ht="15.6" x14ac:dyDescent="0.3">
      <c r="A134" s="103"/>
      <c r="B134" s="103"/>
      <c r="C134" s="103"/>
      <c r="D134" s="103"/>
      <c r="E134" s="104" t="s">
        <v>333</v>
      </c>
      <c r="F134" s="104" t="s">
        <v>103</v>
      </c>
      <c r="G134" s="105"/>
      <c r="H134" s="105"/>
      <c r="J134">
        <v>466</v>
      </c>
      <c r="K134" t="s">
        <v>409</v>
      </c>
      <c r="L134" t="s">
        <v>409</v>
      </c>
      <c r="M134" t="s">
        <v>90</v>
      </c>
      <c r="N134" t="s">
        <v>90</v>
      </c>
      <c r="O134" t="s">
        <v>529</v>
      </c>
      <c r="P134" t="s">
        <v>223</v>
      </c>
      <c r="Q134" t="s">
        <v>307</v>
      </c>
      <c r="R134" t="s">
        <v>485</v>
      </c>
      <c r="S134" t="s">
        <v>493</v>
      </c>
      <c r="T134" t="s">
        <v>483</v>
      </c>
      <c r="U134" t="s">
        <v>486</v>
      </c>
      <c r="V134">
        <f>IFERROR(VLOOKUP(Rotas_Geral[[#This Row],[Nome Loja]],#REF!,3,0),0)</f>
        <v>0</v>
      </c>
      <c r="W134">
        <f>IFERROR(VLOOKUP(Rotas_Geral[[#This Row],[Nome Loja]],#REF!,4,0),0)</f>
        <v>0</v>
      </c>
      <c r="X134">
        <f>IFERROR(VLOOKUP(Rotas_Geral[[#This Row],[Nome Loja]],#REF!,3,0),0)</f>
        <v>0</v>
      </c>
      <c r="Y134">
        <f>IFERROR(VLOOKUP(Rotas_Geral[[#This Row],[Nome Loja]],#REF!,4,0),0)</f>
        <v>0</v>
      </c>
    </row>
    <row r="135" spans="1:25" ht="15.6" x14ac:dyDescent="0.3">
      <c r="A135" s="103"/>
      <c r="B135" s="103"/>
      <c r="C135" s="103"/>
      <c r="D135" s="103"/>
      <c r="E135" s="104" t="s">
        <v>425</v>
      </c>
      <c r="F135" s="104" t="s">
        <v>225</v>
      </c>
      <c r="G135" s="105"/>
      <c r="H135" s="105"/>
      <c r="J135">
        <v>467</v>
      </c>
      <c r="K135" t="s">
        <v>410</v>
      </c>
      <c r="L135" t="s">
        <v>410</v>
      </c>
      <c r="M135" t="s">
        <v>90</v>
      </c>
      <c r="N135" t="s">
        <v>90</v>
      </c>
      <c r="O135" t="s">
        <v>529</v>
      </c>
      <c r="P135" t="s">
        <v>472</v>
      </c>
      <c r="Q135" t="s">
        <v>307</v>
      </c>
      <c r="R135" t="s">
        <v>305</v>
      </c>
      <c r="S135" t="s">
        <v>493</v>
      </c>
      <c r="T135" t="s">
        <v>483</v>
      </c>
      <c r="U135" t="s">
        <v>486</v>
      </c>
      <c r="V135">
        <f>IFERROR(VLOOKUP(Rotas_Geral[[#This Row],[Nome Loja]],#REF!,3,0),0)</f>
        <v>0</v>
      </c>
      <c r="W135">
        <f>IFERROR(VLOOKUP(Rotas_Geral[[#This Row],[Nome Loja]],#REF!,4,0),0)</f>
        <v>0</v>
      </c>
      <c r="X135">
        <f>IFERROR(VLOOKUP(Rotas_Geral[[#This Row],[Nome Loja]],#REF!,3,0),0)</f>
        <v>0</v>
      </c>
      <c r="Y135">
        <f>IFERROR(VLOOKUP(Rotas_Geral[[#This Row],[Nome Loja]],#REF!,4,0),0)</f>
        <v>0</v>
      </c>
    </row>
    <row r="136" spans="1:25" ht="15.6" x14ac:dyDescent="0.3">
      <c r="A136" s="103"/>
      <c r="B136" s="103"/>
      <c r="C136" s="103"/>
      <c r="D136" s="103"/>
      <c r="E136" s="104" t="s">
        <v>426</v>
      </c>
      <c r="F136" s="104" t="s">
        <v>103</v>
      </c>
      <c r="G136" s="105"/>
      <c r="H136" s="105"/>
      <c r="J136">
        <v>503</v>
      </c>
      <c r="K136" t="s">
        <v>488</v>
      </c>
      <c r="L136" t="s">
        <v>488</v>
      </c>
      <c r="M136" t="s">
        <v>531</v>
      </c>
      <c r="N136" t="s">
        <v>531</v>
      </c>
      <c r="O136" t="s">
        <v>529</v>
      </c>
      <c r="P136" t="s">
        <v>391</v>
      </c>
      <c r="Q136" t="s">
        <v>391</v>
      </c>
      <c r="R136" t="s">
        <v>305</v>
      </c>
      <c r="S136" t="s">
        <v>479</v>
      </c>
      <c r="T136" t="s">
        <v>480</v>
      </c>
      <c r="U136" t="s">
        <v>486</v>
      </c>
      <c r="V136">
        <f>IFERROR(VLOOKUP(Rotas_Geral[[#This Row],[Nome Loja]],#REF!,3,0),0)</f>
        <v>0</v>
      </c>
      <c r="W136">
        <f>IFERROR(VLOOKUP(Rotas_Geral[[#This Row],[Nome Loja]],#REF!,4,0),0)</f>
        <v>0</v>
      </c>
      <c r="X136">
        <f>IFERROR(VLOOKUP(Rotas_Geral[[#This Row],[Nome Loja]],#REF!,3,0),0)</f>
        <v>0</v>
      </c>
      <c r="Y136">
        <f>IFERROR(VLOOKUP(Rotas_Geral[[#This Row],[Nome Loja]],#REF!,4,0),0)</f>
        <v>0</v>
      </c>
    </row>
    <row r="137" spans="1:25" ht="15.6" x14ac:dyDescent="0.3">
      <c r="A137" s="103"/>
      <c r="B137" s="103"/>
      <c r="C137" s="103"/>
      <c r="D137" s="103"/>
      <c r="E137" s="104" t="s">
        <v>394</v>
      </c>
      <c r="F137" s="104" t="s">
        <v>103</v>
      </c>
      <c r="G137" s="105"/>
      <c r="H137" s="105"/>
      <c r="J137">
        <v>2008</v>
      </c>
      <c r="K137" t="s">
        <v>218</v>
      </c>
      <c r="L137" t="s">
        <v>219</v>
      </c>
      <c r="M137" t="s">
        <v>90</v>
      </c>
      <c r="N137" t="s">
        <v>90</v>
      </c>
      <c r="O137" t="s">
        <v>529</v>
      </c>
      <c r="P137" t="s">
        <v>109</v>
      </c>
      <c r="Q137" t="s">
        <v>307</v>
      </c>
      <c r="R137" t="s">
        <v>491</v>
      </c>
      <c r="S137" t="s">
        <v>479</v>
      </c>
      <c r="T137" t="s">
        <v>501</v>
      </c>
      <c r="U137" t="s">
        <v>486</v>
      </c>
      <c r="V137">
        <f>IFERROR(VLOOKUP(Rotas_Geral[[#This Row],[Nome Loja]],#REF!,3,0),0)</f>
        <v>0</v>
      </c>
      <c r="W137">
        <f>IFERROR(VLOOKUP(Rotas_Geral[[#This Row],[Nome Loja]],#REF!,4,0),0)</f>
        <v>0</v>
      </c>
      <c r="X137">
        <f>IFERROR(VLOOKUP(Rotas_Geral[[#This Row],[Nome Loja]],#REF!,3,0),0)</f>
        <v>0</v>
      </c>
      <c r="Y137">
        <f>IFERROR(VLOOKUP(Rotas_Geral[[#This Row],[Nome Loja]],#REF!,4,0),0)</f>
        <v>0</v>
      </c>
    </row>
    <row r="138" spans="1:25" ht="15.6" x14ac:dyDescent="0.3">
      <c r="A138" s="103"/>
      <c r="B138" s="103"/>
      <c r="C138" s="103"/>
      <c r="D138" s="103"/>
      <c r="E138" s="104" t="s">
        <v>460</v>
      </c>
      <c r="F138" s="104" t="s">
        <v>119</v>
      </c>
      <c r="G138" s="105"/>
      <c r="H138" s="105"/>
      <c r="J138">
        <v>12576</v>
      </c>
      <c r="K138" t="s">
        <v>411</v>
      </c>
      <c r="L138" t="s">
        <v>412</v>
      </c>
      <c r="M138" t="s">
        <v>90</v>
      </c>
      <c r="N138" t="s">
        <v>90</v>
      </c>
      <c r="O138" t="s">
        <v>529</v>
      </c>
      <c r="P138" t="s">
        <v>391</v>
      </c>
      <c r="Q138" t="s">
        <v>391</v>
      </c>
      <c r="R138" t="s">
        <v>491</v>
      </c>
      <c r="S138" t="s">
        <v>479</v>
      </c>
      <c r="T138" t="s">
        <v>483</v>
      </c>
      <c r="U138" t="s">
        <v>486</v>
      </c>
      <c r="V138">
        <f>IFERROR(VLOOKUP(Rotas_Geral[[#This Row],[Nome Loja]],#REF!,3,0),0)</f>
        <v>0</v>
      </c>
      <c r="W138">
        <f>IFERROR(VLOOKUP(Rotas_Geral[[#This Row],[Nome Loja]],#REF!,4,0),0)</f>
        <v>0</v>
      </c>
      <c r="X138">
        <f>IFERROR(VLOOKUP(Rotas_Geral[[#This Row],[Nome Loja]],#REF!,3,0),0)</f>
        <v>0</v>
      </c>
      <c r="Y138">
        <f>IFERROR(VLOOKUP(Rotas_Geral[[#This Row],[Nome Loja]],#REF!,4,0),0)</f>
        <v>0</v>
      </c>
    </row>
    <row r="139" spans="1:25" ht="15.6" x14ac:dyDescent="0.3">
      <c r="A139" s="103"/>
      <c r="B139" s="103"/>
      <c r="C139" s="103"/>
      <c r="D139" s="103"/>
      <c r="E139" s="104" t="s">
        <v>445</v>
      </c>
      <c r="F139" s="66" t="s">
        <v>116</v>
      </c>
      <c r="G139" s="105"/>
      <c r="H139" s="105"/>
      <c r="J139">
        <v>13471</v>
      </c>
      <c r="K139" t="s">
        <v>413</v>
      </c>
      <c r="L139" t="s">
        <v>414</v>
      </c>
      <c r="M139" t="s">
        <v>90</v>
      </c>
      <c r="N139" t="s">
        <v>90</v>
      </c>
      <c r="O139" t="s">
        <v>529</v>
      </c>
      <c r="P139" t="s">
        <v>391</v>
      </c>
      <c r="Q139" t="s">
        <v>391</v>
      </c>
      <c r="R139" t="s">
        <v>491</v>
      </c>
      <c r="S139" t="s">
        <v>479</v>
      </c>
      <c r="T139" t="s">
        <v>483</v>
      </c>
      <c r="U139" t="s">
        <v>486</v>
      </c>
      <c r="V139">
        <f>IFERROR(VLOOKUP(Rotas_Geral[[#This Row],[Nome Loja]],#REF!,3,0),0)</f>
        <v>0</v>
      </c>
      <c r="W139">
        <f>IFERROR(VLOOKUP(Rotas_Geral[[#This Row],[Nome Loja]],#REF!,4,0),0)</f>
        <v>0</v>
      </c>
      <c r="X139">
        <f>IFERROR(VLOOKUP(Rotas_Geral[[#This Row],[Nome Loja]],#REF!,3,0),0)</f>
        <v>0</v>
      </c>
      <c r="Y139">
        <f>IFERROR(VLOOKUP(Rotas_Geral[[#This Row],[Nome Loja]],#REF!,4,0),0)</f>
        <v>0</v>
      </c>
    </row>
    <row r="140" spans="1:25" ht="15.6" x14ac:dyDescent="0.3">
      <c r="A140" s="103"/>
      <c r="B140" s="103"/>
      <c r="C140" s="103"/>
      <c r="D140" s="103"/>
      <c r="E140" s="104" t="s">
        <v>466</v>
      </c>
      <c r="F140" s="66" t="s">
        <v>116</v>
      </c>
      <c r="G140" s="105"/>
      <c r="H140" s="105"/>
      <c r="J140">
        <v>19376</v>
      </c>
      <c r="K140" t="s">
        <v>415</v>
      </c>
      <c r="L140" t="s">
        <v>416</v>
      </c>
      <c r="M140" t="s">
        <v>90</v>
      </c>
      <c r="N140" t="s">
        <v>90</v>
      </c>
      <c r="O140" t="s">
        <v>529</v>
      </c>
      <c r="P140" t="s">
        <v>391</v>
      </c>
      <c r="Q140" t="s">
        <v>391</v>
      </c>
      <c r="R140" t="s">
        <v>491</v>
      </c>
      <c r="S140" t="s">
        <v>479</v>
      </c>
      <c r="T140" t="s">
        <v>483</v>
      </c>
      <c r="U140" t="s">
        <v>486</v>
      </c>
      <c r="V140">
        <f>IFERROR(VLOOKUP(Rotas_Geral[[#This Row],[Nome Loja]],#REF!,3,0),0)</f>
        <v>0</v>
      </c>
      <c r="W140">
        <f>IFERROR(VLOOKUP(Rotas_Geral[[#This Row],[Nome Loja]],#REF!,4,0),0)</f>
        <v>0</v>
      </c>
      <c r="X140">
        <f>IFERROR(VLOOKUP(Rotas_Geral[[#This Row],[Nome Loja]],#REF!,3,0),0)</f>
        <v>0</v>
      </c>
      <c r="Y140">
        <f>IFERROR(VLOOKUP(Rotas_Geral[[#This Row],[Nome Loja]],#REF!,4,0),0)</f>
        <v>0</v>
      </c>
    </row>
    <row r="141" spans="1:25" ht="15.6" x14ac:dyDescent="0.3">
      <c r="A141" s="103"/>
      <c r="B141" s="103"/>
      <c r="C141" s="103"/>
      <c r="D141" s="103"/>
      <c r="E141" s="104" t="s">
        <v>377</v>
      </c>
      <c r="F141" s="104" t="s">
        <v>103</v>
      </c>
      <c r="G141" s="105"/>
      <c r="H141" s="105"/>
      <c r="J141">
        <v>506</v>
      </c>
      <c r="K141" t="s">
        <v>522</v>
      </c>
      <c r="L141" t="s">
        <v>523</v>
      </c>
      <c r="M141" t="s">
        <v>530</v>
      </c>
      <c r="N141" t="s">
        <v>528</v>
      </c>
      <c r="O141" t="s">
        <v>529</v>
      </c>
      <c r="V141">
        <f>IFERROR(VLOOKUP(Rotas_Geral[[#This Row],[Nome Loja]],#REF!,3,0),0)</f>
        <v>0</v>
      </c>
      <c r="W141">
        <f>IFERROR(VLOOKUP(Rotas_Geral[[#This Row],[Nome Loja]],#REF!,4,0),0)</f>
        <v>0</v>
      </c>
      <c r="X141">
        <f>IFERROR(VLOOKUP(Rotas_Geral[[#This Row],[Nome Loja]],#REF!,3,0),0)</f>
        <v>0</v>
      </c>
      <c r="Y141">
        <f>IFERROR(VLOOKUP(Rotas_Geral[[#This Row],[Nome Loja]],#REF!,4,0),0)</f>
        <v>0</v>
      </c>
    </row>
    <row r="142" spans="1:25" ht="15.6" x14ac:dyDescent="0.3">
      <c r="A142" s="103"/>
      <c r="B142" s="103"/>
      <c r="C142" s="103"/>
      <c r="D142" s="103"/>
      <c r="E142" s="104" t="s">
        <v>510</v>
      </c>
      <c r="F142" s="104" t="s">
        <v>222</v>
      </c>
      <c r="G142" s="105"/>
      <c r="H142" s="105"/>
      <c r="J142">
        <v>514</v>
      </c>
      <c r="K142" t="s">
        <v>524</v>
      </c>
      <c r="L142" t="s">
        <v>525</v>
      </c>
      <c r="M142" t="s">
        <v>531</v>
      </c>
      <c r="N142" t="s">
        <v>531</v>
      </c>
      <c r="O142" t="s">
        <v>529</v>
      </c>
      <c r="V142">
        <f>IFERROR(VLOOKUP(Rotas_Geral[[#This Row],[Nome Loja]],#REF!,3,0),0)</f>
        <v>0</v>
      </c>
      <c r="W142">
        <f>IFERROR(VLOOKUP(Rotas_Geral[[#This Row],[Nome Loja]],#REF!,4,0),0)</f>
        <v>0</v>
      </c>
      <c r="X142">
        <f>IFERROR(VLOOKUP(Rotas_Geral[[#This Row],[Nome Loja]],#REF!,3,0),0)</f>
        <v>0</v>
      </c>
      <c r="Y142">
        <f>IFERROR(VLOOKUP(Rotas_Geral[[#This Row],[Nome Loja]],#REF!,4,0),0)</f>
        <v>0</v>
      </c>
    </row>
    <row r="143" spans="1:25" ht="15.6" x14ac:dyDescent="0.3">
      <c r="A143" s="103"/>
      <c r="B143" s="103"/>
      <c r="C143" s="103"/>
      <c r="D143" s="103"/>
      <c r="E143" s="104" t="s">
        <v>514</v>
      </c>
      <c r="F143" s="104" t="s">
        <v>246</v>
      </c>
      <c r="G143" s="105"/>
      <c r="H143" s="105"/>
      <c r="J143">
        <v>215</v>
      </c>
      <c r="K143" t="s">
        <v>526</v>
      </c>
      <c r="L143" t="s">
        <v>526</v>
      </c>
      <c r="M143" t="s">
        <v>90</v>
      </c>
      <c r="N143" t="s">
        <v>90</v>
      </c>
      <c r="O143" t="s">
        <v>529</v>
      </c>
      <c r="V143">
        <f>IFERROR(VLOOKUP(Rotas_Geral[[#This Row],[Nome Loja]],#REF!,3,0),0)</f>
        <v>0</v>
      </c>
      <c r="W143">
        <f>IFERROR(VLOOKUP(Rotas_Geral[[#This Row],[Nome Loja]],#REF!,4,0),0)</f>
        <v>0</v>
      </c>
      <c r="X143">
        <f>IFERROR(VLOOKUP(Rotas_Geral[[#This Row],[Nome Loja]],#REF!,3,0),0)</f>
        <v>0</v>
      </c>
      <c r="Y143">
        <f>IFERROR(VLOOKUP(Rotas_Geral[[#This Row],[Nome Loja]],#REF!,4,0),0)</f>
        <v>0</v>
      </c>
    </row>
    <row r="144" spans="1:25" ht="15.6" x14ac:dyDescent="0.3">
      <c r="A144" s="65"/>
      <c r="B144" s="65"/>
      <c r="C144" s="65"/>
      <c r="D144" s="65"/>
      <c r="E144" s="66" t="s">
        <v>60</v>
      </c>
      <c r="F144" s="66"/>
      <c r="G144" s="176"/>
      <c r="H144" s="176"/>
    </row>
    <row r="145" spans="1:8" ht="15.6" x14ac:dyDescent="0.3">
      <c r="A145" s="65"/>
      <c r="B145" s="65"/>
      <c r="C145" s="65"/>
      <c r="D145" s="65"/>
      <c r="E145" s="66" t="s">
        <v>62</v>
      </c>
      <c r="F145" s="66"/>
      <c r="G145" s="176"/>
      <c r="H145" s="176"/>
    </row>
    <row r="146" spans="1:8" ht="15.6" x14ac:dyDescent="0.3">
      <c r="A146" s="65"/>
      <c r="B146" s="65"/>
      <c r="C146" s="65"/>
      <c r="D146" s="65"/>
      <c r="E146" s="66" t="s">
        <v>64</v>
      </c>
      <c r="F146" s="66"/>
      <c r="G146" s="176"/>
      <c r="H146" s="176"/>
    </row>
    <row r="147" spans="1:8" ht="15.6" x14ac:dyDescent="0.3">
      <c r="A147" s="65"/>
      <c r="B147" s="65"/>
      <c r="C147" s="65"/>
      <c r="D147" s="65"/>
      <c r="E147" s="66" t="s">
        <v>66</v>
      </c>
      <c r="F147" s="66"/>
      <c r="G147" s="176"/>
      <c r="H147" s="176"/>
    </row>
    <row r="148" spans="1:8" ht="15.6" x14ac:dyDescent="0.3">
      <c r="A148" s="65"/>
      <c r="B148" s="65"/>
      <c r="C148" s="65"/>
      <c r="D148" s="65"/>
      <c r="E148" s="66" t="s">
        <v>70</v>
      </c>
      <c r="F148" s="66"/>
      <c r="G148" s="176"/>
      <c r="H148" s="176"/>
    </row>
    <row r="149" spans="1:8" ht="15.6" x14ac:dyDescent="0.3">
      <c r="A149" s="65"/>
      <c r="B149" s="65"/>
      <c r="C149" s="65"/>
      <c r="D149" s="65"/>
      <c r="E149" s="66" t="s">
        <v>72</v>
      </c>
      <c r="F149" s="66"/>
      <c r="G149" s="176"/>
      <c r="H149" s="176"/>
    </row>
    <row r="150" spans="1:8" ht="15.6" x14ac:dyDescent="0.3">
      <c r="A150" s="65"/>
      <c r="B150" s="65"/>
      <c r="C150" s="65"/>
      <c r="D150" s="65"/>
      <c r="E150" s="66" t="s">
        <v>78</v>
      </c>
      <c r="F150" s="66"/>
      <c r="G150" s="176"/>
      <c r="H150" s="176"/>
    </row>
    <row r="151" spans="1:8" ht="15.6" x14ac:dyDescent="0.3">
      <c r="A151" s="65"/>
      <c r="B151" s="65"/>
      <c r="C151" s="65"/>
      <c r="D151" s="65"/>
      <c r="E151" s="66" t="s">
        <v>79</v>
      </c>
      <c r="F151" s="66"/>
      <c r="G151" s="176"/>
      <c r="H151" s="176"/>
    </row>
    <row r="152" spans="1:8" ht="15.6" x14ac:dyDescent="0.3">
      <c r="A152" s="65"/>
      <c r="B152" s="65"/>
      <c r="C152" s="65"/>
      <c r="D152" s="65"/>
      <c r="E152" s="66" t="s">
        <v>294</v>
      </c>
      <c r="F152" s="66"/>
      <c r="G152" s="176"/>
      <c r="H152" s="176"/>
    </row>
    <row r="153" spans="1:8" ht="15.6" x14ac:dyDescent="0.3">
      <c r="A153" s="65"/>
      <c r="B153" s="65"/>
      <c r="C153" s="65"/>
      <c r="D153" s="65"/>
      <c r="E153" s="66" t="s">
        <v>83</v>
      </c>
      <c r="F153" s="66"/>
      <c r="G153" s="176"/>
      <c r="H153" s="176"/>
    </row>
    <row r="154" spans="1:8" ht="15.6" x14ac:dyDescent="0.3">
      <c r="A154" s="65"/>
      <c r="B154" s="65"/>
      <c r="C154" s="65"/>
      <c r="D154" s="65"/>
      <c r="E154" s="66" t="s">
        <v>84</v>
      </c>
      <c r="F154" s="66"/>
      <c r="G154" s="176"/>
      <c r="H154" s="176"/>
    </row>
    <row r="155" spans="1:8" ht="15.6" x14ac:dyDescent="0.3">
      <c r="A155" s="65"/>
      <c r="B155" s="65"/>
      <c r="C155" s="65"/>
      <c r="D155" s="65"/>
      <c r="E155" s="66" t="s">
        <v>85</v>
      </c>
      <c r="F155" s="66"/>
      <c r="G155" s="176"/>
      <c r="H155" s="176"/>
    </row>
    <row r="156" spans="1:8" ht="15.6" x14ac:dyDescent="0.3">
      <c r="A156" s="65"/>
      <c r="B156" s="65"/>
      <c r="C156" s="65"/>
      <c r="D156" s="65"/>
      <c r="E156" s="66" t="s">
        <v>86</v>
      </c>
      <c r="F156" s="66"/>
      <c r="G156" s="176"/>
      <c r="H156" s="176"/>
    </row>
    <row r="157" spans="1:8" ht="15.6" x14ac:dyDescent="0.3">
      <c r="A157" s="65"/>
      <c r="B157" s="65"/>
      <c r="C157" s="65"/>
      <c r="D157" s="65"/>
      <c r="E157" s="66" t="s">
        <v>363</v>
      </c>
      <c r="F157" s="66"/>
      <c r="G157" s="176"/>
      <c r="H157" s="176"/>
    </row>
    <row r="158" spans="1:8" ht="15.6" x14ac:dyDescent="0.3">
      <c r="A158" s="65"/>
      <c r="B158" s="65"/>
      <c r="C158" s="65"/>
      <c r="D158" s="65"/>
      <c r="E158" s="66" t="s">
        <v>90</v>
      </c>
      <c r="F158" s="66"/>
      <c r="G158" s="176"/>
      <c r="H158" s="176"/>
    </row>
    <row r="159" spans="1:8" ht="15.6" x14ac:dyDescent="0.3">
      <c r="A159" s="65"/>
      <c r="B159" s="65"/>
      <c r="C159" s="65"/>
      <c r="D159" s="65"/>
      <c r="E159" s="66" t="s">
        <v>354</v>
      </c>
      <c r="F159" s="66"/>
      <c r="G159" s="176"/>
      <c r="H159" s="176"/>
    </row>
    <row r="160" spans="1:8" ht="15.6" x14ac:dyDescent="0.3">
      <c r="A160" s="65"/>
      <c r="B160" s="65"/>
      <c r="C160" s="65"/>
      <c r="D160" s="65"/>
      <c r="E160" s="66" t="s">
        <v>435</v>
      </c>
      <c r="F160" s="66"/>
      <c r="G160" s="176"/>
      <c r="H160" s="176"/>
    </row>
    <row r="161" spans="1:8" ht="15.6" x14ac:dyDescent="0.3">
      <c r="A161" s="65"/>
      <c r="B161" s="65"/>
      <c r="C161" s="65"/>
      <c r="D161" s="65"/>
      <c r="E161" s="66" t="s">
        <v>423</v>
      </c>
      <c r="F161" s="66"/>
      <c r="G161" s="176"/>
      <c r="H161" s="176"/>
    </row>
    <row r="162" spans="1:8" ht="15.6" x14ac:dyDescent="0.3">
      <c r="A162" s="65"/>
      <c r="B162" s="65"/>
      <c r="C162" s="65"/>
      <c r="D162" s="65"/>
      <c r="E162" s="66" t="s">
        <v>424</v>
      </c>
      <c r="F162" s="66"/>
      <c r="G162" s="176"/>
      <c r="H162" s="176"/>
    </row>
    <row r="163" spans="1:8" ht="15.6" x14ac:dyDescent="0.3">
      <c r="A163" s="65"/>
      <c r="B163" s="65"/>
      <c r="C163" s="65"/>
      <c r="D163" s="65"/>
      <c r="E163" s="66" t="s">
        <v>445</v>
      </c>
      <c r="F163" s="66"/>
      <c r="G163" s="176"/>
      <c r="H163" s="176"/>
    </row>
    <row r="164" spans="1:8" ht="15.6" x14ac:dyDescent="0.3">
      <c r="A164" s="65"/>
      <c r="B164" s="65"/>
      <c r="C164" s="65"/>
      <c r="D164" s="65"/>
      <c r="E164" s="66" t="s">
        <v>355</v>
      </c>
      <c r="F164" s="66"/>
      <c r="G164" s="176"/>
      <c r="H164" s="176"/>
    </row>
    <row r="165" spans="1:8" ht="15.6" x14ac:dyDescent="0.3">
      <c r="A165" s="65"/>
      <c r="B165" s="65"/>
      <c r="C165" s="65"/>
      <c r="D165" s="65"/>
      <c r="E165" s="66" t="s">
        <v>460</v>
      </c>
      <c r="F165" s="66"/>
      <c r="G165" s="176"/>
      <c r="H165" s="176"/>
    </row>
    <row r="166" spans="1:8" ht="15.6" x14ac:dyDescent="0.3">
      <c r="A166" s="65"/>
      <c r="B166" s="65"/>
      <c r="C166" s="65"/>
      <c r="D166" s="65"/>
      <c r="E166" s="66" t="s">
        <v>463</v>
      </c>
      <c r="F166" s="66"/>
      <c r="G166" s="176"/>
      <c r="H166" s="176"/>
    </row>
    <row r="167" spans="1:8" ht="15.6" x14ac:dyDescent="0.3">
      <c r="A167" s="65"/>
      <c r="B167" s="65"/>
      <c r="C167" s="65"/>
      <c r="D167" s="65"/>
      <c r="E167" s="66" t="s">
        <v>471</v>
      </c>
      <c r="F167" s="66"/>
      <c r="G167" s="176"/>
      <c r="H167" s="176"/>
    </row>
    <row r="168" spans="1:8" ht="15.6" x14ac:dyDescent="0.3">
      <c r="A168" s="65"/>
      <c r="B168" s="65"/>
      <c r="C168" s="65"/>
      <c r="D168" s="65"/>
      <c r="E168" s="66" t="s">
        <v>514</v>
      </c>
      <c r="F168" s="66"/>
      <c r="G168" s="176"/>
      <c r="H168" s="176"/>
    </row>
    <row r="169" spans="1:8" ht="15.6" x14ac:dyDescent="0.3">
      <c r="A169" s="65"/>
      <c r="B169" s="65"/>
      <c r="C169" s="65"/>
      <c r="D169" s="65"/>
      <c r="E169" s="66" t="s">
        <v>510</v>
      </c>
      <c r="F169" s="66"/>
      <c r="G169" s="176"/>
      <c r="H169" s="176"/>
    </row>
    <row r="170" spans="1:8" ht="15.6" x14ac:dyDescent="0.3">
      <c r="A170" s="65"/>
      <c r="B170" s="65"/>
      <c r="C170" s="65"/>
      <c r="D170" s="65"/>
      <c r="E170" s="66" t="s">
        <v>516</v>
      </c>
      <c r="F170" s="66"/>
      <c r="G170" s="176"/>
      <c r="H170" s="176"/>
    </row>
    <row r="171" spans="1:8" ht="15.6" x14ac:dyDescent="0.3">
      <c r="A171" s="65"/>
      <c r="B171" s="65"/>
      <c r="C171" s="65"/>
      <c r="D171" s="65"/>
      <c r="E171" s="66" t="s">
        <v>517</v>
      </c>
      <c r="F171" s="66"/>
      <c r="G171" s="176"/>
      <c r="H171" s="176"/>
    </row>
    <row r="172" spans="1:8" ht="15.6" x14ac:dyDescent="0.3">
      <c r="A172" s="65"/>
      <c r="B172" s="65"/>
      <c r="C172" s="65"/>
      <c r="D172" s="65"/>
      <c r="E172" s="66" t="s">
        <v>518</v>
      </c>
      <c r="F172" s="66"/>
      <c r="G172" s="176"/>
      <c r="H172" s="176"/>
    </row>
    <row r="173" spans="1:8" ht="15.6" x14ac:dyDescent="0.3">
      <c r="A173" s="65"/>
      <c r="B173" s="65"/>
      <c r="C173" s="65"/>
      <c r="D173" s="65"/>
      <c r="E173" s="66" t="s">
        <v>519</v>
      </c>
      <c r="F173" s="66"/>
      <c r="G173" s="176"/>
      <c r="H173" s="176"/>
    </row>
    <row r="174" spans="1:8" ht="15.6" x14ac:dyDescent="0.3">
      <c r="A174" s="65"/>
      <c r="B174" s="65"/>
      <c r="C174" s="65"/>
      <c r="D174" s="65"/>
      <c r="E174" s="66" t="s">
        <v>109</v>
      </c>
      <c r="F174" s="66"/>
      <c r="G174" s="176"/>
      <c r="H174" s="176"/>
    </row>
    <row r="175" spans="1:8" ht="15.6" x14ac:dyDescent="0.3">
      <c r="A175" s="65"/>
      <c r="B175" s="65"/>
      <c r="C175" s="65"/>
      <c r="D175" s="65"/>
      <c r="E175" s="66" t="s">
        <v>520</v>
      </c>
      <c r="F175" s="66"/>
      <c r="G175" s="176"/>
      <c r="H175" s="176"/>
    </row>
    <row r="176" spans="1:8" ht="15.6" x14ac:dyDescent="0.3">
      <c r="A176" s="103"/>
      <c r="B176" s="103"/>
      <c r="C176" s="103"/>
      <c r="D176" s="103"/>
      <c r="E176" s="104" t="s">
        <v>521</v>
      </c>
      <c r="F176" s="104"/>
      <c r="G176" s="105"/>
      <c r="H176" s="105"/>
    </row>
  </sheetData>
  <conditionalFormatting sqref="J2:J143">
    <cfRule type="duplicateValues" dxfId="258" priority="26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8973-1DE0-406D-BF8C-5B69B14B2788}">
  <dimension ref="A1:AT133"/>
  <sheetViews>
    <sheetView showGridLines="0" topLeftCell="K9" zoomScaleNormal="100" workbookViewId="0">
      <selection activeCell="T10" sqref="T10:W41"/>
    </sheetView>
  </sheetViews>
  <sheetFormatPr defaultRowHeight="14.4" x14ac:dyDescent="0.3"/>
  <cols>
    <col min="1" max="1" width="7.44140625" bestFit="1" customWidth="1"/>
    <col min="3" max="3" width="22.88671875" bestFit="1" customWidth="1"/>
    <col min="4" max="4" width="31.109375" bestFit="1" customWidth="1"/>
    <col min="5" max="7" width="12.109375" bestFit="1" customWidth="1"/>
    <col min="8" max="8" width="10.5546875" bestFit="1" customWidth="1"/>
    <col min="9" max="9" width="7.44140625" bestFit="1" customWidth="1"/>
    <col min="10" max="10" width="2.109375" customWidth="1"/>
    <col min="11" max="11" width="22.88671875" bestFit="1" customWidth="1"/>
    <col min="12" max="12" width="30.6640625" bestFit="1" customWidth="1"/>
    <col min="13" max="15" width="12.109375" bestFit="1" customWidth="1"/>
    <col min="16" max="16" width="8.6640625" hidden="1" customWidth="1"/>
    <col min="17" max="17" width="12.88671875" hidden="1" customWidth="1"/>
    <col min="18" max="18" width="1.5546875" customWidth="1"/>
    <col min="19" max="19" width="8.6640625" customWidth="1"/>
    <col min="20" max="20" width="20.88671875" bestFit="1" customWidth="1"/>
    <col min="21" max="23" width="10.5546875" bestFit="1" customWidth="1"/>
    <col min="24" max="24" width="12.6640625" customWidth="1"/>
    <col min="25" max="25" width="5.5546875" customWidth="1"/>
    <col min="26" max="26" width="15.109375" bestFit="1" customWidth="1"/>
    <col min="27" max="27" width="10.5546875" bestFit="1" customWidth="1"/>
    <col min="28" max="29" width="11.6640625" bestFit="1" customWidth="1"/>
    <col min="32" max="32" width="7.44140625" bestFit="1" customWidth="1"/>
    <col min="34" max="34" width="22.88671875" bestFit="1" customWidth="1"/>
    <col min="35" max="35" width="29.109375" bestFit="1" customWidth="1"/>
    <col min="36" max="38" width="12.109375" bestFit="1" customWidth="1"/>
    <col min="40" max="40" width="7.44140625" bestFit="1" customWidth="1"/>
    <col min="42" max="42" width="22.88671875" bestFit="1" customWidth="1"/>
    <col min="43" max="43" width="29.109375" bestFit="1" customWidth="1"/>
    <col min="44" max="46" width="12.109375" bestFit="1" customWidth="1"/>
  </cols>
  <sheetData>
    <row r="1" spans="1:46" ht="15" thickBot="1" x14ac:dyDescent="0.35"/>
    <row r="2" spans="1:46" ht="18.600000000000001" thickBot="1" x14ac:dyDescent="0.4">
      <c r="A2" s="9"/>
      <c r="B2" s="10"/>
      <c r="C2" s="11" t="s">
        <v>22</v>
      </c>
      <c r="D2" s="11" t="s">
        <v>349</v>
      </c>
      <c r="E2" s="12" t="s">
        <v>23</v>
      </c>
      <c r="F2" s="12">
        <v>1500</v>
      </c>
      <c r="G2" s="13" t="s">
        <v>24</v>
      </c>
      <c r="I2" s="9"/>
      <c r="J2" s="10"/>
      <c r="K2" s="11" t="s">
        <v>25</v>
      </c>
      <c r="L2" s="11" t="s">
        <v>26</v>
      </c>
      <c r="M2" s="12" t="s">
        <v>23</v>
      </c>
      <c r="N2" s="12">
        <v>2000</v>
      </c>
      <c r="O2" s="14"/>
      <c r="T2" s="4" t="s">
        <v>27</v>
      </c>
      <c r="U2" s="204" t="s">
        <v>28</v>
      </c>
      <c r="V2" s="205"/>
      <c r="W2" s="206"/>
      <c r="X2" s="93"/>
      <c r="Z2" s="15" t="s">
        <v>29</v>
      </c>
      <c r="AA2" s="204" t="s">
        <v>28</v>
      </c>
      <c r="AB2" s="205"/>
      <c r="AC2" s="206"/>
      <c r="AF2" s="9"/>
      <c r="AG2" s="10"/>
      <c r="AH2" s="11" t="s">
        <v>429</v>
      </c>
      <c r="AI2" s="11" t="s">
        <v>430</v>
      </c>
      <c r="AJ2" s="207" t="s">
        <v>441</v>
      </c>
      <c r="AK2" s="208"/>
      <c r="AL2" s="209"/>
      <c r="AM2" s="122"/>
      <c r="AN2" s="9"/>
      <c r="AO2" s="10"/>
      <c r="AP2" s="11" t="s">
        <v>431</v>
      </c>
      <c r="AQ2" s="11" t="s">
        <v>430</v>
      </c>
      <c r="AR2" s="207" t="s">
        <v>441</v>
      </c>
      <c r="AS2" s="208"/>
      <c r="AT2" s="209"/>
    </row>
    <row r="3" spans="1:46" ht="15" thickBot="1" x14ac:dyDescent="0.35">
      <c r="A3" s="16" t="s">
        <v>30</v>
      </c>
      <c r="B3" s="1"/>
      <c r="C3" s="1" t="s">
        <v>31</v>
      </c>
      <c r="D3" s="1"/>
      <c r="E3" s="1"/>
      <c r="F3" s="1"/>
      <c r="G3" s="17"/>
      <c r="I3" s="16" t="s">
        <v>30</v>
      </c>
      <c r="J3" s="1"/>
      <c r="K3" s="1" t="s">
        <v>31</v>
      </c>
      <c r="L3" s="1"/>
      <c r="M3" s="1"/>
      <c r="N3" s="1"/>
      <c r="O3" s="17"/>
      <c r="T3" s="4" t="s">
        <v>32</v>
      </c>
      <c r="U3" s="18">
        <v>0.9</v>
      </c>
      <c r="V3" s="18">
        <v>1</v>
      </c>
      <c r="W3" s="19">
        <v>1.1499999999999999</v>
      </c>
      <c r="X3" s="109"/>
      <c r="Z3" s="4" t="s">
        <v>32</v>
      </c>
      <c r="AA3" s="18">
        <v>0.9</v>
      </c>
      <c r="AB3" s="18">
        <v>1</v>
      </c>
      <c r="AC3" s="19">
        <v>1.1499999999999999</v>
      </c>
      <c r="AF3" s="16" t="s">
        <v>30</v>
      </c>
      <c r="AG3" s="1"/>
      <c r="AH3" s="1" t="s">
        <v>31</v>
      </c>
      <c r="AI3" s="1"/>
      <c r="AJ3" s="1"/>
      <c r="AK3" s="1"/>
      <c r="AL3" s="17"/>
      <c r="AM3" s="1"/>
      <c r="AN3" s="16" t="s">
        <v>30</v>
      </c>
      <c r="AO3" s="1"/>
      <c r="AP3" s="1" t="s">
        <v>31</v>
      </c>
      <c r="AQ3" s="1"/>
      <c r="AR3" s="1"/>
      <c r="AS3" s="1"/>
      <c r="AT3" s="17"/>
    </row>
    <row r="4" spans="1:46" x14ac:dyDescent="0.3">
      <c r="A4" s="16" t="s">
        <v>33</v>
      </c>
      <c r="B4" s="1"/>
      <c r="C4" s="1" t="s">
        <v>34</v>
      </c>
      <c r="D4" s="1"/>
      <c r="E4" s="20">
        <v>0.9</v>
      </c>
      <c r="F4" s="20">
        <v>1</v>
      </c>
      <c r="G4" s="21">
        <v>1.1499999999999999</v>
      </c>
      <c r="I4" s="16" t="s">
        <v>33</v>
      </c>
      <c r="J4" s="1"/>
      <c r="K4" s="1" t="s">
        <v>34</v>
      </c>
      <c r="L4" s="1"/>
      <c r="M4" s="20">
        <v>0.9</v>
      </c>
      <c r="N4" s="20">
        <v>1</v>
      </c>
      <c r="O4" s="21">
        <v>1.1499999999999999</v>
      </c>
      <c r="T4" s="22" t="s">
        <v>24</v>
      </c>
      <c r="U4" s="23">
        <f>E19</f>
        <v>100</v>
      </c>
      <c r="V4" s="23">
        <f>F19</f>
        <v>200</v>
      </c>
      <c r="W4" s="24">
        <f>G19</f>
        <v>270</v>
      </c>
      <c r="X4" s="32"/>
      <c r="Z4" s="25" t="s">
        <v>24</v>
      </c>
      <c r="AA4" s="26">
        <v>135</v>
      </c>
      <c r="AB4" s="26">
        <v>270</v>
      </c>
      <c r="AC4" s="27">
        <v>350</v>
      </c>
      <c r="AF4" s="16" t="s">
        <v>33</v>
      </c>
      <c r="AG4" s="1"/>
      <c r="AH4" s="1" t="s">
        <v>34</v>
      </c>
      <c r="AI4" s="1"/>
      <c r="AJ4" s="20">
        <v>0.9</v>
      </c>
      <c r="AK4" s="20">
        <v>1</v>
      </c>
      <c r="AL4" s="21">
        <v>1.1499999999999999</v>
      </c>
      <c r="AM4" s="20"/>
      <c r="AN4" s="16" t="s">
        <v>33</v>
      </c>
      <c r="AO4" s="1"/>
      <c r="AP4" s="1" t="s">
        <v>34</v>
      </c>
      <c r="AQ4" s="1"/>
      <c r="AR4" s="20">
        <v>0.9</v>
      </c>
      <c r="AS4" s="20">
        <v>1</v>
      </c>
      <c r="AT4" s="21">
        <v>1.1499999999999999</v>
      </c>
    </row>
    <row r="5" spans="1:46" ht="15.6" x14ac:dyDescent="0.3">
      <c r="A5" s="16"/>
      <c r="B5" s="1"/>
      <c r="C5" s="1" t="s">
        <v>35</v>
      </c>
      <c r="D5" s="1" t="s">
        <v>36</v>
      </c>
      <c r="E5" s="20">
        <f t="shared" ref="E5:G10" si="0">E18/$F$29</f>
        <v>4.1666666666666664E-2</v>
      </c>
      <c r="F5" s="20">
        <f t="shared" si="0"/>
        <v>8.3333333333333329E-2</v>
      </c>
      <c r="G5" s="21">
        <f t="shared" si="0"/>
        <v>0.125</v>
      </c>
      <c r="H5" s="28"/>
      <c r="I5" s="16"/>
      <c r="J5" s="1"/>
      <c r="K5" s="1" t="s">
        <v>35</v>
      </c>
      <c r="L5" s="1" t="s">
        <v>36</v>
      </c>
      <c r="M5" s="20">
        <v>0.05</v>
      </c>
      <c r="N5" s="20">
        <v>0.1</v>
      </c>
      <c r="O5" s="21">
        <v>0.15</v>
      </c>
      <c r="Q5" s="29"/>
      <c r="R5" s="30"/>
      <c r="S5" s="30"/>
      <c r="T5" s="106" t="s">
        <v>37</v>
      </c>
      <c r="U5" s="32">
        <f>E44</f>
        <v>85</v>
      </c>
      <c r="V5" s="32">
        <f>F44</f>
        <v>170</v>
      </c>
      <c r="W5" s="33">
        <f>G44</f>
        <v>200</v>
      </c>
      <c r="X5" s="32"/>
      <c r="Y5" s="29"/>
      <c r="Z5" s="31" t="s">
        <v>37</v>
      </c>
      <c r="AA5" s="26">
        <v>112.5</v>
      </c>
      <c r="AB5" s="26">
        <v>225</v>
      </c>
      <c r="AC5" s="27">
        <v>270</v>
      </c>
      <c r="AF5" s="16"/>
      <c r="AG5" s="1"/>
      <c r="AH5" s="68" t="s">
        <v>35</v>
      </c>
      <c r="AI5" s="68" t="s">
        <v>36</v>
      </c>
      <c r="AJ5" s="111">
        <v>130</v>
      </c>
      <c r="AK5" s="129">
        <v>250</v>
      </c>
      <c r="AL5" s="112">
        <v>360</v>
      </c>
      <c r="AM5" s="111"/>
      <c r="AN5" s="16"/>
      <c r="AO5" s="1"/>
      <c r="AP5" s="68" t="s">
        <v>35</v>
      </c>
      <c r="AQ5" s="124" t="s">
        <v>36</v>
      </c>
      <c r="AR5" s="127">
        <v>170</v>
      </c>
      <c r="AS5" s="130">
        <v>300</v>
      </c>
      <c r="AT5" s="128">
        <v>440</v>
      </c>
    </row>
    <row r="6" spans="1:46" ht="16.2" thickBot="1" x14ac:dyDescent="0.35">
      <c r="A6" s="16"/>
      <c r="B6" s="1"/>
      <c r="C6" s="1" t="s">
        <v>38</v>
      </c>
      <c r="D6" s="1" t="s">
        <v>39</v>
      </c>
      <c r="E6" s="20">
        <f t="shared" si="0"/>
        <v>5.5555555555555552E-2</v>
      </c>
      <c r="F6" s="20">
        <f t="shared" si="0"/>
        <v>0.1111111111111111</v>
      </c>
      <c r="G6" s="21">
        <f t="shared" si="0"/>
        <v>0.15</v>
      </c>
      <c r="H6" s="35"/>
      <c r="I6" s="16"/>
      <c r="J6" s="1"/>
      <c r="K6" s="1" t="s">
        <v>38</v>
      </c>
      <c r="L6" s="1" t="s">
        <v>39</v>
      </c>
      <c r="M6" s="34">
        <v>7.4999999999999997E-2</v>
      </c>
      <c r="N6" s="20">
        <v>0.15</v>
      </c>
      <c r="O6" s="21">
        <v>0.2</v>
      </c>
      <c r="P6" s="36"/>
      <c r="Q6" s="36"/>
      <c r="R6" s="36"/>
      <c r="S6" s="36"/>
      <c r="T6" s="107" t="s">
        <v>40</v>
      </c>
      <c r="U6" s="32">
        <f>E73</f>
        <v>70</v>
      </c>
      <c r="V6" s="32">
        <f>F73</f>
        <v>140</v>
      </c>
      <c r="W6" s="33">
        <f>G73</f>
        <v>175</v>
      </c>
      <c r="X6" s="32"/>
      <c r="Y6" s="36"/>
      <c r="Z6" s="38" t="s">
        <v>40</v>
      </c>
      <c r="AA6" s="39">
        <v>85</v>
      </c>
      <c r="AB6" s="39">
        <v>170</v>
      </c>
      <c r="AC6" s="40">
        <v>220</v>
      </c>
      <c r="AF6" s="16"/>
      <c r="AG6" s="1"/>
      <c r="AH6" s="68" t="s">
        <v>38</v>
      </c>
      <c r="AI6" s="68" t="s">
        <v>39</v>
      </c>
      <c r="AJ6" s="129">
        <v>150</v>
      </c>
      <c r="AK6" s="111">
        <v>350</v>
      </c>
      <c r="AL6" s="112">
        <v>440</v>
      </c>
      <c r="AM6" s="111"/>
      <c r="AN6" s="16"/>
      <c r="AO6" s="1"/>
      <c r="AP6" s="68" t="s">
        <v>38</v>
      </c>
      <c r="AQ6" s="124" t="s">
        <v>39</v>
      </c>
      <c r="AR6" s="130">
        <v>170</v>
      </c>
      <c r="AS6" s="127">
        <v>400</v>
      </c>
      <c r="AT6" s="128">
        <v>500</v>
      </c>
    </row>
    <row r="7" spans="1:46" ht="16.2" thickBot="1" x14ac:dyDescent="0.35">
      <c r="A7" s="16"/>
      <c r="B7" s="1"/>
      <c r="C7" s="1" t="s">
        <v>41</v>
      </c>
      <c r="D7" s="1" t="s">
        <v>42</v>
      </c>
      <c r="E7" s="20">
        <f t="shared" si="0"/>
        <v>5.5555555555555552E-2</v>
      </c>
      <c r="F7" s="20">
        <f t="shared" si="0"/>
        <v>0.1111111111111111</v>
      </c>
      <c r="G7" s="21">
        <f t="shared" si="0"/>
        <v>0.15</v>
      </c>
      <c r="H7" s="35"/>
      <c r="I7" s="16"/>
      <c r="J7" s="1"/>
      <c r="K7" s="1" t="s">
        <v>41</v>
      </c>
      <c r="L7" s="1" t="s">
        <v>42</v>
      </c>
      <c r="M7" s="34">
        <v>0.15</v>
      </c>
      <c r="N7" s="20">
        <v>0.3</v>
      </c>
      <c r="O7" s="21">
        <v>0.4</v>
      </c>
      <c r="P7" s="41"/>
      <c r="Q7" s="42"/>
      <c r="R7" s="41"/>
      <c r="S7" s="41"/>
      <c r="T7" s="108" t="s">
        <v>43</v>
      </c>
      <c r="U7" s="44">
        <f>E102</f>
        <v>50</v>
      </c>
      <c r="V7" s="44">
        <f>F102</f>
        <v>100</v>
      </c>
      <c r="W7" s="45">
        <f>G102</f>
        <v>125</v>
      </c>
      <c r="X7" s="32"/>
      <c r="Y7" s="46"/>
      <c r="Z7" s="42"/>
      <c r="AA7" s="42"/>
      <c r="AF7" s="16"/>
      <c r="AG7" s="1"/>
      <c r="AH7" s="68" t="s">
        <v>41</v>
      </c>
      <c r="AI7" s="68" t="s">
        <v>42</v>
      </c>
      <c r="AJ7" s="129">
        <v>150</v>
      </c>
      <c r="AK7" s="111">
        <v>350</v>
      </c>
      <c r="AL7" s="112">
        <v>440</v>
      </c>
      <c r="AM7" s="111"/>
      <c r="AN7" s="16"/>
      <c r="AO7" s="1"/>
      <c r="AP7" s="68" t="str">
        <f>AH7</f>
        <v>C:</v>
      </c>
      <c r="AQ7" s="124" t="s">
        <v>42</v>
      </c>
      <c r="AR7" s="127">
        <v>170</v>
      </c>
      <c r="AS7" s="127">
        <v>400</v>
      </c>
      <c r="AT7" s="131">
        <v>500</v>
      </c>
    </row>
    <row r="8" spans="1:46" ht="15.6" x14ac:dyDescent="0.3">
      <c r="A8" s="16"/>
      <c r="B8" s="1"/>
      <c r="C8" s="1" t="s">
        <v>44</v>
      </c>
      <c r="D8" s="1" t="s">
        <v>45</v>
      </c>
      <c r="E8" s="20">
        <f t="shared" si="0"/>
        <v>5.5555555555555552E-2</v>
      </c>
      <c r="F8" s="20">
        <f t="shared" si="0"/>
        <v>0.1111111111111111</v>
      </c>
      <c r="G8" s="21">
        <f t="shared" si="0"/>
        <v>0.15</v>
      </c>
      <c r="H8" s="35"/>
      <c r="I8" s="16"/>
      <c r="J8" s="1"/>
      <c r="K8" s="1"/>
      <c r="L8" s="1"/>
      <c r="M8" s="34"/>
      <c r="N8" s="20"/>
      <c r="O8" s="21"/>
      <c r="P8" s="41"/>
      <c r="Q8" s="42"/>
      <c r="R8" s="41"/>
      <c r="S8" s="41"/>
      <c r="T8" s="74"/>
      <c r="U8" s="32"/>
      <c r="V8" s="32"/>
      <c r="W8" s="32"/>
      <c r="X8" s="32"/>
      <c r="Y8" s="46"/>
      <c r="Z8" s="42"/>
      <c r="AA8" s="42"/>
      <c r="AF8" s="16"/>
      <c r="AG8" s="1"/>
      <c r="AH8" s="68"/>
      <c r="AI8" s="68"/>
      <c r="AJ8" s="111"/>
      <c r="AK8" s="111"/>
      <c r="AL8" s="112"/>
      <c r="AM8" s="111"/>
      <c r="AN8" s="16"/>
      <c r="AO8" s="1"/>
      <c r="AP8" s="68"/>
      <c r="AQ8" s="124"/>
      <c r="AR8" s="127"/>
      <c r="AS8" s="127"/>
      <c r="AT8" s="128"/>
    </row>
    <row r="9" spans="1:46" ht="16.2" thickBot="1" x14ac:dyDescent="0.35">
      <c r="A9" s="16"/>
      <c r="B9" s="1"/>
      <c r="C9" s="1" t="s">
        <v>50</v>
      </c>
      <c r="D9" s="1" t="s">
        <v>51</v>
      </c>
      <c r="E9" s="20">
        <f t="shared" si="0"/>
        <v>0.1111111111111111</v>
      </c>
      <c r="F9" s="20">
        <f t="shared" si="0"/>
        <v>0.22222222222222221</v>
      </c>
      <c r="G9" s="21">
        <f t="shared" si="0"/>
        <v>0.3</v>
      </c>
      <c r="H9" s="35"/>
      <c r="I9" s="16"/>
      <c r="J9" s="1"/>
      <c r="K9" s="1" t="s">
        <v>44</v>
      </c>
      <c r="L9" s="1" t="s">
        <v>45</v>
      </c>
      <c r="M9" s="34">
        <v>7.4999999999999997E-2</v>
      </c>
      <c r="N9" s="20">
        <v>0.15</v>
      </c>
      <c r="O9" s="21">
        <v>0.2</v>
      </c>
      <c r="P9" s="41"/>
      <c r="Q9" s="42"/>
      <c r="R9" s="41"/>
      <c r="S9" s="41"/>
      <c r="T9" s="42"/>
      <c r="U9" s="41"/>
      <c r="V9" s="42"/>
      <c r="W9" s="42"/>
      <c r="X9" s="42"/>
      <c r="Y9" s="46"/>
      <c r="Z9" s="42"/>
      <c r="AA9" s="42"/>
      <c r="AF9" s="16">
        <v>2</v>
      </c>
      <c r="AG9" s="47"/>
      <c r="AH9" s="68" t="s">
        <v>432</v>
      </c>
      <c r="AI9" s="68" t="s">
        <v>39</v>
      </c>
      <c r="AJ9" s="111">
        <v>400</v>
      </c>
      <c r="AK9" s="129">
        <v>400</v>
      </c>
      <c r="AL9" s="112">
        <v>400</v>
      </c>
      <c r="AM9" s="111"/>
      <c r="AN9" s="16">
        <v>2</v>
      </c>
      <c r="AO9" s="47"/>
      <c r="AP9" s="68" t="s">
        <v>432</v>
      </c>
      <c r="AQ9" s="124" t="s">
        <v>39</v>
      </c>
      <c r="AR9" s="127">
        <v>450</v>
      </c>
      <c r="AS9" s="127">
        <v>450</v>
      </c>
      <c r="AT9" s="128">
        <v>450</v>
      </c>
    </row>
    <row r="10" spans="1:46" ht="15.6" x14ac:dyDescent="0.3">
      <c r="A10" s="16"/>
      <c r="B10" s="1"/>
      <c r="C10" s="1" t="s">
        <v>342</v>
      </c>
      <c r="D10" s="1" t="s">
        <v>343</v>
      </c>
      <c r="E10" s="20">
        <f t="shared" si="0"/>
        <v>5.5555555555555552E-2</v>
      </c>
      <c r="F10" s="20">
        <f t="shared" si="0"/>
        <v>0.1111111111111111</v>
      </c>
      <c r="G10" s="21">
        <f t="shared" si="0"/>
        <v>0.15</v>
      </c>
      <c r="H10" s="35"/>
      <c r="I10" s="16"/>
      <c r="J10" s="1"/>
      <c r="K10" s="1"/>
      <c r="L10" s="1"/>
      <c r="M10" s="34"/>
      <c r="N10" s="20"/>
      <c r="O10" s="21"/>
      <c r="P10" s="41"/>
      <c r="Q10" s="42"/>
      <c r="R10" s="41"/>
      <c r="S10" s="41"/>
      <c r="T10" s="226" t="s">
        <v>464</v>
      </c>
      <c r="U10" s="227"/>
      <c r="V10" s="227"/>
      <c r="W10" s="228"/>
      <c r="X10" s="42"/>
      <c r="Y10" s="46"/>
      <c r="Z10" s="42"/>
      <c r="AA10" s="42"/>
      <c r="AF10" s="16"/>
      <c r="AG10" s="47"/>
      <c r="AH10" s="68"/>
      <c r="AI10" s="68"/>
      <c r="AJ10" s="68"/>
      <c r="AK10" s="68"/>
      <c r="AL10" s="114"/>
      <c r="AM10" s="68"/>
      <c r="AN10" s="16"/>
      <c r="AO10" s="47"/>
      <c r="AP10" s="68"/>
      <c r="AQ10" s="113"/>
      <c r="AR10" s="1"/>
      <c r="AS10" s="1"/>
      <c r="AT10" s="17"/>
    </row>
    <row r="11" spans="1:46" ht="16.2" thickBot="1" x14ac:dyDescent="0.35">
      <c r="A11" s="16"/>
      <c r="B11" s="47"/>
      <c r="C11" s="1"/>
      <c r="D11" s="1"/>
      <c r="E11" s="20"/>
      <c r="F11" s="1"/>
      <c r="G11" s="17"/>
      <c r="H11" s="48"/>
      <c r="I11" s="16"/>
      <c r="J11" s="47"/>
      <c r="K11" s="1"/>
      <c r="L11" s="1"/>
      <c r="M11" s="1"/>
      <c r="N11" s="1"/>
      <c r="O11" s="17"/>
      <c r="P11" s="41"/>
      <c r="Q11" s="42"/>
      <c r="R11" s="41"/>
      <c r="S11" s="41"/>
      <c r="T11" s="229"/>
      <c r="U11" s="230"/>
      <c r="V11" s="230"/>
      <c r="W11" s="231"/>
      <c r="X11" s="42"/>
      <c r="Y11" s="46"/>
      <c r="Z11" s="42"/>
      <c r="AA11" s="42"/>
      <c r="AF11" s="16">
        <v>3</v>
      </c>
      <c r="AG11" s="1"/>
      <c r="AH11" s="68" t="s">
        <v>49</v>
      </c>
      <c r="AI11" s="68" t="s">
        <v>36</v>
      </c>
      <c r="AJ11" s="111">
        <v>400</v>
      </c>
      <c r="AK11" s="129">
        <v>400</v>
      </c>
      <c r="AL11" s="112">
        <v>400</v>
      </c>
      <c r="AM11" s="111"/>
      <c r="AN11" s="16">
        <v>3</v>
      </c>
      <c r="AO11" s="1"/>
      <c r="AP11" s="68" t="s">
        <v>49</v>
      </c>
      <c r="AQ11" s="113" t="s">
        <v>36</v>
      </c>
      <c r="AR11" s="127">
        <v>450</v>
      </c>
      <c r="AS11" s="130">
        <v>450</v>
      </c>
      <c r="AT11" s="128">
        <v>450</v>
      </c>
    </row>
    <row r="12" spans="1:46" ht="16.2" thickBot="1" x14ac:dyDescent="0.35">
      <c r="A12" s="16">
        <v>2</v>
      </c>
      <c r="B12" s="47"/>
      <c r="C12" s="1" t="s">
        <v>46</v>
      </c>
      <c r="D12" s="1" t="s">
        <v>39</v>
      </c>
      <c r="E12" s="20">
        <f>E25/$F$29</f>
        <v>0.125</v>
      </c>
      <c r="F12" s="20">
        <f>F25/$F$29</f>
        <v>0.125</v>
      </c>
      <c r="G12" s="21">
        <f>G25/$F$29</f>
        <v>0.125</v>
      </c>
      <c r="H12" s="48"/>
      <c r="I12" s="16">
        <v>2</v>
      </c>
      <c r="J12" s="47"/>
      <c r="K12" s="1" t="s">
        <v>47</v>
      </c>
      <c r="L12" s="1" t="s">
        <v>39</v>
      </c>
      <c r="M12" s="20">
        <v>0.15</v>
      </c>
      <c r="N12" s="20">
        <v>0.15</v>
      </c>
      <c r="O12" s="21">
        <v>0.15</v>
      </c>
      <c r="P12" s="41"/>
      <c r="Q12" s="42"/>
      <c r="R12" s="41"/>
      <c r="S12" s="41"/>
      <c r="T12" s="220" t="s">
        <v>48</v>
      </c>
      <c r="U12" s="221"/>
      <c r="V12" s="221"/>
      <c r="W12" s="222"/>
      <c r="X12" s="41"/>
      <c r="Y12" s="42"/>
      <c r="Z12" s="42"/>
      <c r="AA12" s="42"/>
      <c r="AF12" s="16"/>
      <c r="AG12" s="1"/>
      <c r="AH12" s="68"/>
      <c r="AI12" s="68"/>
      <c r="AJ12" s="68"/>
      <c r="AK12" s="68"/>
      <c r="AL12" s="114"/>
      <c r="AM12" s="68"/>
      <c r="AN12" s="16"/>
      <c r="AO12" s="1"/>
      <c r="AP12" s="68"/>
      <c r="AQ12" s="113"/>
      <c r="AR12" s="113"/>
      <c r="AS12" s="113"/>
      <c r="AT12" s="115"/>
    </row>
    <row r="13" spans="1:46" ht="15" thickBot="1" x14ac:dyDescent="0.35">
      <c r="A13" s="16"/>
      <c r="B13" s="47"/>
      <c r="C13" s="1"/>
      <c r="D13" s="1"/>
      <c r="E13" s="20"/>
      <c r="F13" s="1"/>
      <c r="G13" s="17"/>
      <c r="H13" s="48"/>
      <c r="I13" s="16"/>
      <c r="J13" s="47"/>
      <c r="K13" s="1"/>
      <c r="L13" s="1"/>
      <c r="M13" s="1"/>
      <c r="N13" s="1"/>
      <c r="O13" s="17"/>
      <c r="T13" s="4" t="s">
        <v>324</v>
      </c>
      <c r="U13" s="138">
        <v>0.9</v>
      </c>
      <c r="V13" s="138">
        <v>1</v>
      </c>
      <c r="W13" s="139">
        <v>1.1499999999999999</v>
      </c>
      <c r="X13" s="20"/>
      <c r="AF13" s="54"/>
      <c r="AG13" s="55"/>
      <c r="AH13" s="116"/>
      <c r="AI13" s="116" t="s">
        <v>17</v>
      </c>
      <c r="AJ13" s="117">
        <f>SUM(AJ5:AJ11)</f>
        <v>1230</v>
      </c>
      <c r="AK13" s="117">
        <f>SUM(AK5:AK11)</f>
        <v>1750</v>
      </c>
      <c r="AL13" s="118">
        <f>SUM(AL5:AL11)</f>
        <v>2040</v>
      </c>
      <c r="AM13" s="111"/>
      <c r="AN13" s="54"/>
      <c r="AO13" s="55"/>
      <c r="AP13" s="116"/>
      <c r="AQ13" s="119" t="s">
        <v>17</v>
      </c>
      <c r="AR13" s="120">
        <f>SUM(AR5:AR11)</f>
        <v>1410</v>
      </c>
      <c r="AS13" s="120">
        <f>SUM(AS5:AS11)</f>
        <v>2000</v>
      </c>
      <c r="AT13" s="121">
        <f>SUM(AT5:AT11)</f>
        <v>2340</v>
      </c>
    </row>
    <row r="14" spans="1:46" ht="15" thickBot="1" x14ac:dyDescent="0.35">
      <c r="A14" s="16">
        <v>3</v>
      </c>
      <c r="B14" s="1"/>
      <c r="C14" s="1" t="s">
        <v>49</v>
      </c>
      <c r="D14" s="1" t="s">
        <v>36</v>
      </c>
      <c r="E14" s="20">
        <f>E27/$F$29</f>
        <v>0.125</v>
      </c>
      <c r="F14" s="20">
        <f>F27/$F$29</f>
        <v>0.125</v>
      </c>
      <c r="G14" s="21">
        <v>0.15</v>
      </c>
      <c r="H14" s="48"/>
      <c r="I14" s="16">
        <v>3</v>
      </c>
      <c r="J14" s="1"/>
      <c r="K14" s="1" t="s">
        <v>49</v>
      </c>
      <c r="L14" s="1" t="s">
        <v>36</v>
      </c>
      <c r="M14" s="20">
        <v>0.15</v>
      </c>
      <c r="N14" s="20">
        <v>0.15</v>
      </c>
      <c r="O14" s="21">
        <v>0.15</v>
      </c>
      <c r="T14" s="168" t="s">
        <v>470</v>
      </c>
      <c r="U14" s="142">
        <v>75</v>
      </c>
      <c r="V14" s="142">
        <v>150</v>
      </c>
      <c r="W14" s="143">
        <v>225</v>
      </c>
      <c r="X14" s="110"/>
      <c r="AM14" s="68"/>
    </row>
    <row r="15" spans="1:46" hidden="1" x14ac:dyDescent="0.3">
      <c r="A15" s="16"/>
      <c r="B15" s="1"/>
      <c r="C15" s="1"/>
      <c r="D15" s="1"/>
      <c r="E15" s="20">
        <f>SUM(E5:E14)</f>
        <v>0.625</v>
      </c>
      <c r="F15" s="20">
        <f>SUM(F5:F14)</f>
        <v>1</v>
      </c>
      <c r="G15" s="21">
        <f>SUM(G5:G14)</f>
        <v>1.2999999999999998</v>
      </c>
      <c r="H15" s="48"/>
      <c r="I15" s="16"/>
      <c r="J15" s="1"/>
      <c r="K15" s="1"/>
      <c r="L15" s="1"/>
      <c r="M15" s="20">
        <v>0.65</v>
      </c>
      <c r="N15" s="20">
        <v>1</v>
      </c>
      <c r="O15" s="21">
        <v>1.1999999999999997</v>
      </c>
      <c r="T15" s="140" t="s">
        <v>25</v>
      </c>
      <c r="U15" s="141">
        <v>100</v>
      </c>
      <c r="V15" s="141">
        <v>200</v>
      </c>
      <c r="W15" s="141">
        <v>300</v>
      </c>
      <c r="X15" s="110"/>
      <c r="AA15" s="60"/>
      <c r="AI15" s="93" t="s">
        <v>433</v>
      </c>
      <c r="AJ15" s="210">
        <v>1350</v>
      </c>
      <c r="AK15" s="211"/>
      <c r="AL15" s="211"/>
      <c r="AM15" s="123"/>
      <c r="AQ15" s="93" t="s">
        <v>434</v>
      </c>
      <c r="AR15" s="210">
        <v>1420</v>
      </c>
      <c r="AS15" s="211"/>
      <c r="AT15" s="211"/>
    </row>
    <row r="16" spans="1:46" ht="15" thickBot="1" x14ac:dyDescent="0.35">
      <c r="A16" s="16" t="s">
        <v>30</v>
      </c>
      <c r="B16" s="1"/>
      <c r="C16" s="1" t="s">
        <v>31</v>
      </c>
      <c r="D16" s="1"/>
      <c r="E16" s="1"/>
      <c r="F16" s="1"/>
      <c r="G16" s="17"/>
      <c r="H16" s="48"/>
      <c r="I16" s="16" t="s">
        <v>30</v>
      </c>
      <c r="J16" s="1"/>
      <c r="K16" s="1" t="s">
        <v>31</v>
      </c>
      <c r="L16" s="1"/>
      <c r="M16" s="1"/>
      <c r="N16" s="1"/>
      <c r="O16" s="17"/>
    </row>
    <row r="17" spans="1:39" ht="15" hidden="1" thickBot="1" x14ac:dyDescent="0.35">
      <c r="A17" s="16" t="s">
        <v>33</v>
      </c>
      <c r="B17" s="1"/>
      <c r="C17" s="1" t="s">
        <v>34</v>
      </c>
      <c r="D17" s="1"/>
      <c r="E17" s="20">
        <v>0.9</v>
      </c>
      <c r="F17" s="20">
        <v>1</v>
      </c>
      <c r="G17" s="21">
        <v>1.1499999999999999</v>
      </c>
      <c r="H17" s="48"/>
      <c r="I17" s="16" t="s">
        <v>33</v>
      </c>
      <c r="J17" s="1"/>
      <c r="K17" s="1" t="s">
        <v>34</v>
      </c>
      <c r="L17" s="1"/>
      <c r="M17" s="20">
        <v>0.9</v>
      </c>
      <c r="N17" s="20">
        <v>1</v>
      </c>
      <c r="O17" s="21">
        <v>1.1499999999999999</v>
      </c>
      <c r="AM17" s="93"/>
    </row>
    <row r="18" spans="1:39" ht="15" hidden="1" thickBot="1" x14ac:dyDescent="0.35">
      <c r="A18" s="16"/>
      <c r="B18" s="1"/>
      <c r="C18" s="1" t="s">
        <v>35</v>
      </c>
      <c r="D18" s="1" t="s">
        <v>36</v>
      </c>
      <c r="E18" s="32">
        <v>75</v>
      </c>
      <c r="F18" s="32">
        <v>150</v>
      </c>
      <c r="G18" s="53">
        <v>225</v>
      </c>
      <c r="H18" s="48"/>
      <c r="I18" s="16"/>
      <c r="J18" s="1"/>
      <c r="K18" s="1" t="s">
        <v>35</v>
      </c>
      <c r="L18" s="1" t="s">
        <v>36</v>
      </c>
      <c r="M18" s="32">
        <v>100</v>
      </c>
      <c r="N18" s="32">
        <v>200</v>
      </c>
      <c r="O18" s="53">
        <v>300</v>
      </c>
    </row>
    <row r="19" spans="1:39" ht="15" hidden="1" thickBot="1" x14ac:dyDescent="0.35">
      <c r="A19" s="16"/>
      <c r="B19" s="1"/>
      <c r="C19" s="1" t="s">
        <v>38</v>
      </c>
      <c r="D19" s="1" t="s">
        <v>39</v>
      </c>
      <c r="E19" s="32">
        <v>100</v>
      </c>
      <c r="F19" s="32">
        <v>200</v>
      </c>
      <c r="G19" s="53">
        <v>270</v>
      </c>
      <c r="H19" s="48"/>
      <c r="I19" s="16"/>
      <c r="J19" s="1"/>
      <c r="K19" s="1" t="s">
        <v>38</v>
      </c>
      <c r="L19" s="1" t="s">
        <v>39</v>
      </c>
      <c r="M19" s="32">
        <f>N19/2</f>
        <v>135</v>
      </c>
      <c r="N19" s="32">
        <v>270</v>
      </c>
      <c r="O19" s="53">
        <v>350</v>
      </c>
      <c r="T19" s="15" t="s">
        <v>27</v>
      </c>
      <c r="U19" s="204" t="s">
        <v>341</v>
      </c>
      <c r="V19" s="205"/>
      <c r="W19" s="206"/>
      <c r="X19" s="93"/>
    </row>
    <row r="20" spans="1:39" ht="15" hidden="1" thickBot="1" x14ac:dyDescent="0.35">
      <c r="A20" s="16"/>
      <c r="B20" s="1"/>
      <c r="C20" s="1" t="s">
        <v>41</v>
      </c>
      <c r="D20" s="1" t="s">
        <v>42</v>
      </c>
      <c r="E20" s="32">
        <v>100</v>
      </c>
      <c r="F20" s="32">
        <v>200</v>
      </c>
      <c r="G20" s="53">
        <v>270</v>
      </c>
      <c r="H20" s="48"/>
      <c r="I20" s="16"/>
      <c r="J20" s="1"/>
      <c r="K20" s="1" t="s">
        <v>41</v>
      </c>
      <c r="L20" s="1" t="s">
        <v>42</v>
      </c>
      <c r="M20" s="32">
        <f>N20/2</f>
        <v>135</v>
      </c>
      <c r="N20" s="32">
        <v>270</v>
      </c>
      <c r="O20" s="53">
        <v>350</v>
      </c>
      <c r="T20" s="4" t="s">
        <v>32</v>
      </c>
      <c r="U20" s="212">
        <v>0.6</v>
      </c>
      <c r="V20" s="212"/>
      <c r="W20" s="213"/>
      <c r="X20" s="109"/>
    </row>
    <row r="21" spans="1:39" ht="15" hidden="1" thickBot="1" x14ac:dyDescent="0.35">
      <c r="A21" s="16"/>
      <c r="B21" s="1"/>
      <c r="C21" s="1" t="s">
        <v>44</v>
      </c>
      <c r="D21" s="1" t="s">
        <v>45</v>
      </c>
      <c r="E21" s="32">
        <v>100</v>
      </c>
      <c r="F21" s="32">
        <v>200</v>
      </c>
      <c r="G21" s="53">
        <v>270</v>
      </c>
      <c r="H21" s="48"/>
      <c r="I21" s="16"/>
      <c r="J21" s="1"/>
      <c r="K21" s="1" t="s">
        <v>44</v>
      </c>
      <c r="L21" s="1" t="s">
        <v>45</v>
      </c>
      <c r="M21" s="32">
        <f>N21/2</f>
        <v>135</v>
      </c>
      <c r="N21" s="32">
        <v>270</v>
      </c>
      <c r="O21" s="53">
        <v>350</v>
      </c>
      <c r="T21" s="22" t="s">
        <v>24</v>
      </c>
      <c r="U21" s="214">
        <f>U20*F29</f>
        <v>1080</v>
      </c>
      <c r="V21" s="214"/>
      <c r="W21" s="215"/>
      <c r="X21" s="32"/>
    </row>
    <row r="22" spans="1:39" ht="16.2" hidden="1" thickBot="1" x14ac:dyDescent="0.35">
      <c r="A22" s="16"/>
      <c r="B22" s="1"/>
      <c r="C22" s="1" t="s">
        <v>50</v>
      </c>
      <c r="D22" s="1" t="s">
        <v>51</v>
      </c>
      <c r="E22" s="32">
        <v>200</v>
      </c>
      <c r="F22" s="32">
        <v>400</v>
      </c>
      <c r="G22" s="53">
        <v>540</v>
      </c>
      <c r="H22" s="48"/>
      <c r="I22" s="16"/>
      <c r="J22" s="1"/>
      <c r="K22" s="1" t="s">
        <v>50</v>
      </c>
      <c r="L22" s="1" t="s">
        <v>51</v>
      </c>
      <c r="M22" s="32">
        <f>N22/2</f>
        <v>135</v>
      </c>
      <c r="N22" s="32">
        <v>270</v>
      </c>
      <c r="O22" s="53">
        <v>350</v>
      </c>
      <c r="T22" s="31" t="s">
        <v>37</v>
      </c>
      <c r="U22" s="224">
        <f>U20*F54</f>
        <v>972</v>
      </c>
      <c r="V22" s="224"/>
      <c r="W22" s="225"/>
      <c r="X22" s="32"/>
    </row>
    <row r="23" spans="1:39" ht="16.2" hidden="1" thickBot="1" x14ac:dyDescent="0.35">
      <c r="A23" s="16"/>
      <c r="B23" s="1"/>
      <c r="C23" s="1" t="s">
        <v>342</v>
      </c>
      <c r="D23" s="1" t="s">
        <v>343</v>
      </c>
      <c r="E23" s="32">
        <v>100</v>
      </c>
      <c r="F23" s="32">
        <v>200</v>
      </c>
      <c r="G23" s="53">
        <v>270</v>
      </c>
      <c r="H23" s="48"/>
      <c r="I23" s="16"/>
      <c r="J23" s="1"/>
      <c r="K23" s="1"/>
      <c r="L23" s="1"/>
      <c r="M23" s="32"/>
      <c r="N23" s="32"/>
      <c r="O23" s="53"/>
      <c r="T23" s="31"/>
      <c r="U23" s="32"/>
      <c r="V23" s="32"/>
      <c r="W23" s="33"/>
      <c r="X23" s="32"/>
    </row>
    <row r="24" spans="1:39" ht="16.2" hidden="1" thickBot="1" x14ac:dyDescent="0.35">
      <c r="A24" s="16"/>
      <c r="B24" s="47"/>
      <c r="C24" s="1"/>
      <c r="D24" s="1"/>
      <c r="E24" s="1"/>
      <c r="F24" s="1"/>
      <c r="G24" s="17"/>
      <c r="H24" s="48"/>
      <c r="I24" s="16"/>
      <c r="J24" s="47"/>
      <c r="K24" s="1"/>
      <c r="L24" s="1"/>
      <c r="M24" s="1"/>
      <c r="N24" s="1"/>
      <c r="O24" s="17"/>
      <c r="T24" s="37" t="s">
        <v>40</v>
      </c>
      <c r="U24" s="224">
        <f>U20*F83</f>
        <v>864</v>
      </c>
      <c r="V24" s="224"/>
      <c r="W24" s="225"/>
      <c r="X24" s="32"/>
    </row>
    <row r="25" spans="1:39" ht="16.2" hidden="1" thickBot="1" x14ac:dyDescent="0.35">
      <c r="A25" s="16">
        <v>2</v>
      </c>
      <c r="B25" s="47"/>
      <c r="C25" s="1" t="s">
        <v>46</v>
      </c>
      <c r="D25" s="1" t="s">
        <v>39</v>
      </c>
      <c r="E25" s="32">
        <v>225</v>
      </c>
      <c r="F25" s="32">
        <v>225</v>
      </c>
      <c r="G25" s="53">
        <v>225</v>
      </c>
      <c r="H25" s="48"/>
      <c r="I25" s="16">
        <v>2</v>
      </c>
      <c r="J25" s="47"/>
      <c r="K25" s="1" t="s">
        <v>47</v>
      </c>
      <c r="L25" s="1" t="s">
        <v>39</v>
      </c>
      <c r="M25" s="32">
        <v>300</v>
      </c>
      <c r="N25" s="32">
        <v>300</v>
      </c>
      <c r="O25" s="53">
        <v>300</v>
      </c>
      <c r="T25" s="43" t="s">
        <v>43</v>
      </c>
      <c r="U25" s="218">
        <f>U20*F112</f>
        <v>720</v>
      </c>
      <c r="V25" s="218"/>
      <c r="W25" s="219"/>
      <c r="X25" s="32"/>
    </row>
    <row r="26" spans="1:39" ht="15" hidden="1" thickBot="1" x14ac:dyDescent="0.35">
      <c r="A26" s="16"/>
      <c r="B26" s="47"/>
      <c r="C26" s="1"/>
      <c r="D26" s="1"/>
      <c r="E26" s="1"/>
      <c r="F26" s="1"/>
      <c r="G26" s="17"/>
      <c r="H26" s="48"/>
      <c r="I26" s="16"/>
      <c r="J26" s="47"/>
      <c r="K26" s="1"/>
      <c r="L26" s="1"/>
      <c r="M26" s="1"/>
      <c r="N26" s="1"/>
      <c r="O26" s="17"/>
    </row>
    <row r="27" spans="1:39" ht="15" hidden="1" thickBot="1" x14ac:dyDescent="0.35">
      <c r="A27" s="16">
        <v>3</v>
      </c>
      <c r="B27" s="1"/>
      <c r="C27" s="1" t="s">
        <v>49</v>
      </c>
      <c r="D27" s="1" t="s">
        <v>52</v>
      </c>
      <c r="E27" s="32">
        <v>225</v>
      </c>
      <c r="F27" s="32">
        <v>225</v>
      </c>
      <c r="G27" s="53">
        <v>225</v>
      </c>
      <c r="H27" s="48"/>
      <c r="I27" s="16">
        <v>3</v>
      </c>
      <c r="J27" s="1"/>
      <c r="K27" s="1" t="s">
        <v>49</v>
      </c>
      <c r="L27" s="1" t="s">
        <v>36</v>
      </c>
      <c r="M27" s="32">
        <v>300</v>
      </c>
      <c r="N27" s="32">
        <v>300</v>
      </c>
      <c r="O27" s="53">
        <v>300</v>
      </c>
    </row>
    <row r="28" spans="1:39" ht="15" hidden="1" thickBot="1" x14ac:dyDescent="0.35">
      <c r="A28" s="16"/>
      <c r="B28" s="1"/>
      <c r="C28" s="1"/>
      <c r="D28" s="1"/>
      <c r="E28" s="1"/>
      <c r="F28" s="1"/>
      <c r="G28" s="17"/>
      <c r="H28" s="48"/>
      <c r="I28" s="16"/>
      <c r="J28" s="1"/>
      <c r="K28" s="1"/>
      <c r="L28" s="1"/>
      <c r="M28" s="1"/>
      <c r="N28" s="1"/>
      <c r="O28" s="17"/>
    </row>
    <row r="29" spans="1:39" ht="15" thickBot="1" x14ac:dyDescent="0.35">
      <c r="A29" s="54"/>
      <c r="B29" s="55"/>
      <c r="C29" s="55"/>
      <c r="D29" s="55" t="s">
        <v>17</v>
      </c>
      <c r="E29" s="56">
        <f>SUM(E18:E27)</f>
        <v>1125</v>
      </c>
      <c r="F29" s="56">
        <f>SUM(F18:F27)</f>
        <v>1800</v>
      </c>
      <c r="G29" s="57">
        <f>SUM(G18:G27)</f>
        <v>2295</v>
      </c>
      <c r="H29" s="48"/>
      <c r="I29" s="54"/>
      <c r="J29" s="55"/>
      <c r="K29" s="55"/>
      <c r="L29" s="55" t="s">
        <v>53</v>
      </c>
      <c r="M29" s="56">
        <f>SUM(M18:M27)+M22</f>
        <v>1375</v>
      </c>
      <c r="N29" s="56">
        <f>SUM(N18:N27)+N22</f>
        <v>2150</v>
      </c>
      <c r="O29" s="57">
        <f>SUM(O18:O27)+O22</f>
        <v>2650</v>
      </c>
      <c r="T29" s="4" t="s">
        <v>27</v>
      </c>
      <c r="U29" s="204" t="s">
        <v>446</v>
      </c>
      <c r="V29" s="205"/>
      <c r="W29" s="206"/>
    </row>
    <row r="30" spans="1:39" ht="15" thickBot="1" x14ac:dyDescent="0.35">
      <c r="H30" s="48"/>
      <c r="T30" s="4" t="s">
        <v>451</v>
      </c>
      <c r="U30" s="18">
        <v>0.9</v>
      </c>
      <c r="V30" s="18">
        <v>1</v>
      </c>
      <c r="W30" s="19">
        <v>1.1499999999999999</v>
      </c>
    </row>
    <row r="31" spans="1:39" ht="18.600000000000001" thickBot="1" x14ac:dyDescent="0.4">
      <c r="A31" s="9"/>
      <c r="B31" s="10"/>
      <c r="C31" s="11" t="s">
        <v>22</v>
      </c>
      <c r="D31" s="11" t="s">
        <v>54</v>
      </c>
      <c r="E31" s="12" t="s">
        <v>23</v>
      </c>
      <c r="F31" s="12">
        <v>1500</v>
      </c>
      <c r="G31" s="13" t="s">
        <v>37</v>
      </c>
      <c r="H31" s="48"/>
      <c r="I31" s="9"/>
      <c r="J31" s="10"/>
      <c r="K31" s="11" t="s">
        <v>25</v>
      </c>
      <c r="L31" s="11" t="s">
        <v>55</v>
      </c>
      <c r="M31" s="12" t="s">
        <v>23</v>
      </c>
      <c r="N31" s="12">
        <v>2000</v>
      </c>
      <c r="O31" s="14"/>
      <c r="T31" s="4" t="s">
        <v>430</v>
      </c>
      <c r="U31" s="166">
        <v>100</v>
      </c>
      <c r="V31" s="166">
        <v>200</v>
      </c>
      <c r="W31" s="167">
        <v>270</v>
      </c>
    </row>
    <row r="32" spans="1:39" hidden="1" x14ac:dyDescent="0.3">
      <c r="A32" s="16"/>
      <c r="B32" s="1"/>
      <c r="C32" s="1" t="s">
        <v>38</v>
      </c>
      <c r="D32" s="1" t="s">
        <v>39</v>
      </c>
      <c r="E32" s="20">
        <v>6.25E-2</v>
      </c>
      <c r="F32" s="20">
        <v>0.125</v>
      </c>
      <c r="G32" s="21">
        <v>0.15</v>
      </c>
      <c r="H32" s="59"/>
      <c r="I32" s="16"/>
      <c r="J32" s="1"/>
      <c r="K32" s="1" t="s">
        <v>38</v>
      </c>
      <c r="L32" s="1" t="s">
        <v>39</v>
      </c>
      <c r="M32" s="34">
        <v>6.25E-2</v>
      </c>
      <c r="N32" s="34">
        <v>0.125</v>
      </c>
      <c r="O32" s="58">
        <v>0.15</v>
      </c>
    </row>
    <row r="33" spans="1:23" ht="15" thickBot="1" x14ac:dyDescent="0.35">
      <c r="A33" s="16"/>
      <c r="B33" s="1"/>
      <c r="C33" s="1" t="s">
        <v>41</v>
      </c>
      <c r="D33" s="1" t="s">
        <v>42</v>
      </c>
      <c r="E33" s="20">
        <v>0.125</v>
      </c>
      <c r="F33" s="20">
        <v>0.25</v>
      </c>
      <c r="G33" s="21">
        <v>0.3</v>
      </c>
      <c r="H33" s="59"/>
      <c r="I33" s="16"/>
      <c r="J33" s="1"/>
      <c r="K33" s="1" t="s">
        <v>41</v>
      </c>
      <c r="L33" s="1" t="s">
        <v>42</v>
      </c>
      <c r="M33" s="34">
        <v>0.125</v>
      </c>
      <c r="N33" s="34">
        <v>0.25</v>
      </c>
      <c r="O33" s="58">
        <v>0.3</v>
      </c>
    </row>
    <row r="34" spans="1:23" ht="15" thickBot="1" x14ac:dyDescent="0.35">
      <c r="A34" s="16"/>
      <c r="B34" s="1"/>
      <c r="C34" s="1" t="s">
        <v>44</v>
      </c>
      <c r="D34" s="1" t="s">
        <v>45</v>
      </c>
      <c r="E34" s="20">
        <v>6.25E-2</v>
      </c>
      <c r="F34" s="20">
        <v>0.125</v>
      </c>
      <c r="G34" s="21">
        <v>0.15</v>
      </c>
      <c r="H34" s="59"/>
      <c r="I34" s="16"/>
      <c r="J34" s="1"/>
      <c r="K34" s="1" t="s">
        <v>44</v>
      </c>
      <c r="L34" s="1" t="s">
        <v>45</v>
      </c>
      <c r="M34" s="34">
        <v>6.25E-2</v>
      </c>
      <c r="N34" s="20">
        <v>0.125</v>
      </c>
      <c r="O34" s="21">
        <v>0.15</v>
      </c>
      <c r="T34" s="204" t="s">
        <v>467</v>
      </c>
      <c r="U34" s="205"/>
      <c r="V34" s="205"/>
      <c r="W34" s="206"/>
    </row>
    <row r="35" spans="1:23" ht="15" thickBot="1" x14ac:dyDescent="0.35">
      <c r="A35" s="16"/>
      <c r="B35" s="1"/>
      <c r="C35" s="1"/>
      <c r="D35" s="1"/>
      <c r="E35" s="20"/>
      <c r="F35" s="20"/>
      <c r="G35" s="21"/>
      <c r="H35" s="59"/>
      <c r="I35" s="16"/>
      <c r="J35" s="1"/>
      <c r="K35" s="1"/>
      <c r="L35" s="1"/>
      <c r="M35" s="34"/>
      <c r="N35" s="20"/>
      <c r="O35" s="21"/>
      <c r="T35" s="204" t="s">
        <v>448</v>
      </c>
      <c r="U35" s="205"/>
      <c r="V35" s="138">
        <v>0.9</v>
      </c>
      <c r="W35" s="139">
        <v>1</v>
      </c>
    </row>
    <row r="36" spans="1:23" x14ac:dyDescent="0.3">
      <c r="A36" s="16"/>
      <c r="B36" s="47"/>
      <c r="C36" s="1"/>
      <c r="D36" s="1"/>
      <c r="E36" s="1"/>
      <c r="F36" s="1"/>
      <c r="G36" s="17"/>
      <c r="H36" s="48"/>
      <c r="I36" s="16"/>
      <c r="J36" s="47"/>
      <c r="K36" s="1"/>
      <c r="L36" s="1"/>
      <c r="M36" s="1"/>
      <c r="N36" s="1"/>
      <c r="O36" s="17"/>
      <c r="T36" s="223" t="s">
        <v>468</v>
      </c>
      <c r="U36" s="211"/>
      <c r="V36" s="32">
        <v>56.25</v>
      </c>
      <c r="W36" s="33">
        <f>W37</f>
        <v>112.5</v>
      </c>
    </row>
    <row r="37" spans="1:23" ht="15" thickBot="1" x14ac:dyDescent="0.35">
      <c r="A37" s="16">
        <v>2</v>
      </c>
      <c r="B37" s="47"/>
      <c r="C37" s="1" t="s">
        <v>46</v>
      </c>
      <c r="D37" s="1" t="s">
        <v>39</v>
      </c>
      <c r="E37" s="20">
        <v>0.15</v>
      </c>
      <c r="F37" s="20">
        <v>0.15</v>
      </c>
      <c r="G37" s="21">
        <v>0.15</v>
      </c>
      <c r="H37" s="48"/>
      <c r="I37" s="16">
        <v>2</v>
      </c>
      <c r="J37" s="47"/>
      <c r="K37" s="1" t="s">
        <v>47</v>
      </c>
      <c r="L37" s="1" t="s">
        <v>39</v>
      </c>
      <c r="M37" s="20">
        <v>0.15</v>
      </c>
      <c r="N37" s="20">
        <v>0.15</v>
      </c>
      <c r="O37" s="21">
        <v>0.15</v>
      </c>
      <c r="T37" s="216" t="s">
        <v>469</v>
      </c>
      <c r="U37" s="217"/>
      <c r="V37" s="44">
        <f>V36</f>
        <v>56.25</v>
      </c>
      <c r="W37" s="45">
        <f>V37*2</f>
        <v>112.5</v>
      </c>
    </row>
    <row r="38" spans="1:23" hidden="1" x14ac:dyDescent="0.3">
      <c r="A38" s="16"/>
      <c r="B38" s="47"/>
      <c r="C38" s="1"/>
      <c r="D38" s="1"/>
      <c r="E38" s="1"/>
      <c r="F38" s="1"/>
      <c r="G38" s="17"/>
      <c r="H38" s="48"/>
      <c r="I38" s="16"/>
      <c r="J38" s="47"/>
      <c r="K38" s="1"/>
      <c r="L38" s="1"/>
      <c r="M38" s="1"/>
      <c r="N38" s="1"/>
      <c r="O38" s="17"/>
    </row>
    <row r="39" spans="1:23" ht="15" thickBot="1" x14ac:dyDescent="0.35">
      <c r="A39" s="16">
        <v>3</v>
      </c>
      <c r="B39" s="1"/>
      <c r="C39" s="1" t="s">
        <v>49</v>
      </c>
      <c r="D39" s="1" t="s">
        <v>36</v>
      </c>
      <c r="E39" s="20">
        <v>0.15</v>
      </c>
      <c r="F39" s="20">
        <v>0.15</v>
      </c>
      <c r="G39" s="21">
        <v>0.15</v>
      </c>
      <c r="H39" s="48"/>
      <c r="I39" s="16">
        <v>3</v>
      </c>
      <c r="J39" s="1"/>
      <c r="K39" s="1" t="s">
        <v>49</v>
      </c>
      <c r="L39" s="1" t="s">
        <v>36</v>
      </c>
      <c r="M39" s="20">
        <v>0.15</v>
      </c>
      <c r="N39" s="20">
        <v>0.15</v>
      </c>
      <c r="O39" s="21">
        <v>0.15</v>
      </c>
    </row>
    <row r="40" spans="1:23" ht="15" thickBot="1" x14ac:dyDescent="0.35">
      <c r="A40" s="16"/>
      <c r="B40" s="1"/>
      <c r="C40" s="1"/>
      <c r="D40" s="1"/>
      <c r="E40" s="20">
        <v>0.6</v>
      </c>
      <c r="F40" s="20">
        <v>0.9</v>
      </c>
      <c r="G40" s="21">
        <v>1.05</v>
      </c>
      <c r="H40" s="48"/>
      <c r="I40" s="16"/>
      <c r="J40" s="1"/>
      <c r="K40" s="1"/>
      <c r="L40" s="1"/>
      <c r="M40" s="20">
        <v>0.6</v>
      </c>
      <c r="N40" s="20">
        <v>0.9</v>
      </c>
      <c r="O40" s="21">
        <v>1.05</v>
      </c>
      <c r="T40" s="204" t="s">
        <v>449</v>
      </c>
      <c r="U40" s="205"/>
      <c r="V40" s="205"/>
      <c r="W40" s="206"/>
    </row>
    <row r="41" spans="1:23" ht="15" thickBot="1" x14ac:dyDescent="0.35">
      <c r="A41" s="16" t="s">
        <v>30</v>
      </c>
      <c r="B41" s="1"/>
      <c r="C41" s="1" t="s">
        <v>31</v>
      </c>
      <c r="D41" s="1"/>
      <c r="E41" s="1"/>
      <c r="F41" s="1"/>
      <c r="G41" s="17"/>
      <c r="H41" s="48"/>
      <c r="I41" s="16" t="s">
        <v>30</v>
      </c>
      <c r="J41" s="1"/>
      <c r="K41" s="1" t="s">
        <v>31</v>
      </c>
      <c r="L41" s="1"/>
      <c r="M41" s="1"/>
      <c r="N41" s="1"/>
      <c r="O41" s="17"/>
      <c r="T41" s="216" t="s">
        <v>450</v>
      </c>
      <c r="U41" s="217"/>
      <c r="V41" s="218">
        <v>225</v>
      </c>
      <c r="W41" s="219"/>
    </row>
    <row r="42" spans="1:23" x14ac:dyDescent="0.3">
      <c r="A42" s="16" t="s">
        <v>33</v>
      </c>
      <c r="B42" s="1"/>
      <c r="C42" s="1" t="s">
        <v>34</v>
      </c>
      <c r="D42" s="1"/>
      <c r="E42" s="20">
        <v>0.9</v>
      </c>
      <c r="F42" s="20">
        <v>1</v>
      </c>
      <c r="G42" s="21">
        <v>1.1499999999999999</v>
      </c>
      <c r="H42" s="48"/>
      <c r="I42" s="16" t="s">
        <v>33</v>
      </c>
      <c r="J42" s="1"/>
      <c r="K42" s="1" t="s">
        <v>34</v>
      </c>
      <c r="L42" s="1"/>
      <c r="M42" s="20">
        <v>0.9</v>
      </c>
      <c r="N42" s="20">
        <v>1</v>
      </c>
      <c r="O42" s="21">
        <v>1.1499999999999999</v>
      </c>
    </row>
    <row r="43" spans="1:23" x14ac:dyDescent="0.3">
      <c r="A43" s="16"/>
      <c r="B43" s="1"/>
      <c r="C43" s="1" t="s">
        <v>35</v>
      </c>
      <c r="D43" s="1" t="s">
        <v>36</v>
      </c>
      <c r="E43" s="32">
        <v>75</v>
      </c>
      <c r="F43" s="32">
        <v>150</v>
      </c>
      <c r="G43" s="53">
        <v>225</v>
      </c>
      <c r="H43" s="48"/>
      <c r="I43" s="16"/>
      <c r="J43" s="1"/>
      <c r="K43" s="1" t="s">
        <v>35</v>
      </c>
      <c r="L43" s="1" t="s">
        <v>36</v>
      </c>
      <c r="M43" s="32">
        <v>100</v>
      </c>
      <c r="N43" s="32">
        <v>200</v>
      </c>
      <c r="O43" s="53">
        <v>300</v>
      </c>
    </row>
    <row r="44" spans="1:23" x14ac:dyDescent="0.3">
      <c r="A44" s="16"/>
      <c r="B44" s="1"/>
      <c r="C44" s="1" t="s">
        <v>38</v>
      </c>
      <c r="D44" s="1" t="s">
        <v>39</v>
      </c>
      <c r="E44" s="32">
        <v>85</v>
      </c>
      <c r="F44" s="32">
        <v>170</v>
      </c>
      <c r="G44" s="53">
        <v>200</v>
      </c>
      <c r="H44" s="60"/>
      <c r="I44" s="16"/>
      <c r="J44" s="1"/>
      <c r="K44" s="1" t="s">
        <v>38</v>
      </c>
      <c r="L44" s="1" t="s">
        <v>39</v>
      </c>
      <c r="M44" s="32">
        <f>N44/2</f>
        <v>112.5</v>
      </c>
      <c r="N44" s="32">
        <v>225</v>
      </c>
      <c r="O44" s="53">
        <v>270</v>
      </c>
    </row>
    <row r="45" spans="1:23" x14ac:dyDescent="0.3">
      <c r="A45" s="16"/>
      <c r="B45" s="1"/>
      <c r="C45" s="1" t="s">
        <v>41</v>
      </c>
      <c r="D45" s="1" t="s">
        <v>42</v>
      </c>
      <c r="E45" s="32">
        <v>85</v>
      </c>
      <c r="F45" s="32">
        <v>170</v>
      </c>
      <c r="G45" s="53">
        <v>200</v>
      </c>
      <c r="H45" s="60"/>
      <c r="I45" s="16"/>
      <c r="J45" s="1"/>
      <c r="K45" s="1" t="s">
        <v>41</v>
      </c>
      <c r="L45" s="1" t="s">
        <v>42</v>
      </c>
      <c r="M45" s="32">
        <f>N45/2</f>
        <v>112.5</v>
      </c>
      <c r="N45" s="32">
        <v>225</v>
      </c>
      <c r="O45" s="53">
        <v>270</v>
      </c>
    </row>
    <row r="46" spans="1:23" x14ac:dyDescent="0.3">
      <c r="A46" s="16"/>
      <c r="B46" s="1"/>
      <c r="C46" s="1" t="s">
        <v>44</v>
      </c>
      <c r="D46" s="1" t="s">
        <v>45</v>
      </c>
      <c r="E46" s="32">
        <v>85</v>
      </c>
      <c r="F46" s="32">
        <v>170</v>
      </c>
      <c r="G46" s="53">
        <v>200</v>
      </c>
      <c r="H46" s="60"/>
      <c r="I46" s="16"/>
      <c r="J46" s="1"/>
      <c r="K46" s="1" t="s">
        <v>44</v>
      </c>
      <c r="L46" s="1" t="s">
        <v>45</v>
      </c>
      <c r="M46" s="32">
        <f>N46/2</f>
        <v>112.5</v>
      </c>
      <c r="N46" s="32">
        <v>225</v>
      </c>
      <c r="O46" s="53">
        <v>270</v>
      </c>
    </row>
    <row r="47" spans="1:23" x14ac:dyDescent="0.3">
      <c r="A47" s="16"/>
      <c r="B47" s="1"/>
      <c r="C47" s="1" t="s">
        <v>50</v>
      </c>
      <c r="D47" s="1" t="s">
        <v>51</v>
      </c>
      <c r="E47" s="32">
        <v>170</v>
      </c>
      <c r="F47" s="32">
        <v>340</v>
      </c>
      <c r="G47" s="53">
        <v>400</v>
      </c>
      <c r="H47" s="48"/>
      <c r="I47" s="16"/>
      <c r="J47" s="1"/>
      <c r="K47" s="1" t="s">
        <v>50</v>
      </c>
      <c r="L47" s="1" t="s">
        <v>51</v>
      </c>
      <c r="M47" s="32">
        <f>N47/2</f>
        <v>112.5</v>
      </c>
      <c r="N47" s="32">
        <v>225</v>
      </c>
      <c r="O47" s="53">
        <v>270</v>
      </c>
    </row>
    <row r="48" spans="1:23" x14ac:dyDescent="0.3">
      <c r="A48" s="16"/>
      <c r="B48" s="1"/>
      <c r="C48" s="1" t="s">
        <v>342</v>
      </c>
      <c r="D48" s="1" t="s">
        <v>343</v>
      </c>
      <c r="E48" s="32">
        <v>85</v>
      </c>
      <c r="F48" s="32">
        <v>170</v>
      </c>
      <c r="G48" s="53">
        <v>200</v>
      </c>
      <c r="H48" s="48"/>
      <c r="I48" s="16"/>
      <c r="J48" s="1"/>
      <c r="K48" s="1"/>
      <c r="L48" s="1"/>
      <c r="M48" s="32"/>
      <c r="N48" s="32"/>
      <c r="O48" s="53"/>
    </row>
    <row r="49" spans="1:15" x14ac:dyDescent="0.3">
      <c r="A49" s="16"/>
      <c r="B49" s="47"/>
      <c r="C49" s="1"/>
      <c r="D49" s="1"/>
      <c r="E49" s="1"/>
      <c r="F49" s="1"/>
      <c r="G49" s="17"/>
      <c r="H49" s="48"/>
      <c r="I49" s="16"/>
      <c r="J49" s="47"/>
      <c r="K49" s="1"/>
      <c r="L49" s="1"/>
      <c r="M49" s="1"/>
      <c r="N49" s="1"/>
      <c r="O49" s="17"/>
    </row>
    <row r="50" spans="1:15" x14ac:dyDescent="0.3">
      <c r="A50" s="16">
        <v>2</v>
      </c>
      <c r="B50" s="47"/>
      <c r="C50" s="1" t="s">
        <v>46</v>
      </c>
      <c r="D50" s="1" t="s">
        <v>39</v>
      </c>
      <c r="E50" s="32">
        <v>225</v>
      </c>
      <c r="F50" s="32">
        <v>225</v>
      </c>
      <c r="G50" s="53">
        <v>225</v>
      </c>
      <c r="H50" s="48"/>
      <c r="I50" s="16">
        <v>2</v>
      </c>
      <c r="J50" s="47"/>
      <c r="K50" s="1" t="s">
        <v>47</v>
      </c>
      <c r="L50" s="1" t="s">
        <v>39</v>
      </c>
      <c r="M50" s="32">
        <v>300</v>
      </c>
      <c r="N50" s="32">
        <v>300</v>
      </c>
      <c r="O50" s="53">
        <v>300</v>
      </c>
    </row>
    <row r="51" spans="1:15" x14ac:dyDescent="0.3">
      <c r="A51" s="16"/>
      <c r="B51" s="47"/>
      <c r="C51" s="1"/>
      <c r="D51" s="1"/>
      <c r="E51" s="1"/>
      <c r="F51" s="1"/>
      <c r="G51" s="17"/>
      <c r="H51" s="48"/>
      <c r="I51" s="16"/>
      <c r="J51" s="47"/>
      <c r="K51" s="1"/>
      <c r="L51" s="1"/>
      <c r="M51" s="1"/>
      <c r="N51" s="1"/>
      <c r="O51" s="17"/>
    </row>
    <row r="52" spans="1:15" x14ac:dyDescent="0.3">
      <c r="A52" s="16">
        <v>3</v>
      </c>
      <c r="B52" s="1"/>
      <c r="C52" s="1" t="s">
        <v>49</v>
      </c>
      <c r="D52" s="1" t="s">
        <v>36</v>
      </c>
      <c r="E52" s="32">
        <v>225</v>
      </c>
      <c r="F52" s="32">
        <v>225</v>
      </c>
      <c r="G52" s="53">
        <v>225</v>
      </c>
      <c r="H52" s="48"/>
      <c r="I52" s="16">
        <v>3</v>
      </c>
      <c r="J52" s="1"/>
      <c r="K52" s="1" t="s">
        <v>49</v>
      </c>
      <c r="L52" s="1" t="s">
        <v>36</v>
      </c>
      <c r="M52" s="32">
        <v>300</v>
      </c>
      <c r="N52" s="32">
        <v>300</v>
      </c>
      <c r="O52" s="53">
        <v>300</v>
      </c>
    </row>
    <row r="53" spans="1:15" x14ac:dyDescent="0.3">
      <c r="A53" s="16"/>
      <c r="B53" s="1"/>
      <c r="C53" s="1"/>
      <c r="D53" s="1"/>
      <c r="E53" s="1"/>
      <c r="F53" s="1"/>
      <c r="G53" s="17"/>
      <c r="H53" s="48"/>
      <c r="I53" s="16"/>
      <c r="J53" s="1"/>
      <c r="K53" s="1"/>
      <c r="L53" s="1"/>
      <c r="M53" s="1"/>
      <c r="N53" s="1"/>
      <c r="O53" s="17"/>
    </row>
    <row r="54" spans="1:15" x14ac:dyDescent="0.3">
      <c r="A54" s="54"/>
      <c r="B54" s="55"/>
      <c r="C54" s="55"/>
      <c r="D54" s="55" t="s">
        <v>53</v>
      </c>
      <c r="E54" s="56">
        <f>SUM(E43:E52)</f>
        <v>1035</v>
      </c>
      <c r="F54" s="56">
        <f>SUM(F43:F52)</f>
        <v>1620</v>
      </c>
      <c r="G54" s="57">
        <f>SUM(G43:G52)</f>
        <v>1875</v>
      </c>
      <c r="H54" s="48"/>
      <c r="I54" s="54"/>
      <c r="J54" s="55"/>
      <c r="K54" s="55"/>
      <c r="L54" s="55" t="s">
        <v>53</v>
      </c>
      <c r="M54" s="56">
        <f>SUM(M43:M52)+M47</f>
        <v>1262.5</v>
      </c>
      <c r="N54" s="56">
        <f>SUM(N43:N52)+N47</f>
        <v>1925</v>
      </c>
      <c r="O54" s="57">
        <f>SUM(O43:O52)+O47</f>
        <v>2250</v>
      </c>
    </row>
    <row r="55" spans="1:15" x14ac:dyDescent="0.3">
      <c r="H55" s="48"/>
    </row>
    <row r="56" spans="1:15" ht="18" x14ac:dyDescent="0.35">
      <c r="A56" s="9"/>
      <c r="B56" s="10"/>
      <c r="C56" s="11" t="s">
        <v>22</v>
      </c>
      <c r="D56" s="11" t="s">
        <v>40</v>
      </c>
      <c r="E56" s="12" t="s">
        <v>23</v>
      </c>
      <c r="F56" s="12">
        <v>1500</v>
      </c>
      <c r="G56" s="13" t="s">
        <v>40</v>
      </c>
      <c r="H56" s="48"/>
      <c r="I56" s="9"/>
      <c r="J56" s="10"/>
      <c r="K56" s="11" t="s">
        <v>25</v>
      </c>
      <c r="L56" s="11" t="s">
        <v>56</v>
      </c>
      <c r="M56" s="12" t="s">
        <v>23</v>
      </c>
      <c r="N56" s="12">
        <v>200</v>
      </c>
      <c r="O56" s="14"/>
    </row>
    <row r="57" spans="1:15" x14ac:dyDescent="0.3">
      <c r="A57" s="16" t="s">
        <v>30</v>
      </c>
      <c r="B57" s="1"/>
      <c r="C57" s="1" t="s">
        <v>31</v>
      </c>
      <c r="D57" s="1"/>
      <c r="E57" s="1"/>
      <c r="F57" s="1"/>
      <c r="G57" s="17"/>
      <c r="H57" s="48"/>
      <c r="I57" s="16" t="s">
        <v>30</v>
      </c>
      <c r="J57" s="1"/>
      <c r="K57" s="1" t="s">
        <v>31</v>
      </c>
      <c r="L57" s="1"/>
      <c r="M57" s="1"/>
      <c r="N57" s="1"/>
      <c r="O57" s="17"/>
    </row>
    <row r="58" spans="1:15" x14ac:dyDescent="0.3">
      <c r="A58" s="16" t="s">
        <v>33</v>
      </c>
      <c r="B58" s="1"/>
      <c r="C58" s="1" t="s">
        <v>34</v>
      </c>
      <c r="D58" s="1"/>
      <c r="E58" s="20">
        <v>0.9</v>
      </c>
      <c r="F58" s="20">
        <v>1</v>
      </c>
      <c r="G58" s="21">
        <v>1.1499999999999999</v>
      </c>
      <c r="H58" s="48"/>
      <c r="I58" s="16" t="s">
        <v>33</v>
      </c>
      <c r="J58" s="1"/>
      <c r="K58" s="1" t="s">
        <v>34</v>
      </c>
      <c r="L58" s="1"/>
      <c r="M58" s="20">
        <v>0.9</v>
      </c>
      <c r="N58" s="20">
        <v>1</v>
      </c>
      <c r="O58" s="21">
        <v>1.1499999999999999</v>
      </c>
    </row>
    <row r="59" spans="1:15" x14ac:dyDescent="0.3">
      <c r="A59" s="16"/>
      <c r="B59" s="1"/>
      <c r="C59" s="1" t="s">
        <v>35</v>
      </c>
      <c r="D59" s="1" t="s">
        <v>36</v>
      </c>
      <c r="E59" s="20">
        <f t="shared" ref="E59:G63" si="1">E72/$F$83</f>
        <v>5.2083333333333336E-2</v>
      </c>
      <c r="F59" s="20">
        <f t="shared" si="1"/>
        <v>0.10416666666666667</v>
      </c>
      <c r="G59" s="21">
        <f t="shared" si="1"/>
        <v>0.15625</v>
      </c>
      <c r="H59" s="48"/>
      <c r="I59" s="16"/>
      <c r="J59" s="1"/>
      <c r="K59" s="1" t="s">
        <v>35</v>
      </c>
      <c r="L59" s="1" t="s">
        <v>36</v>
      </c>
      <c r="M59" s="20">
        <v>0.05</v>
      </c>
      <c r="N59" s="20">
        <v>0.1</v>
      </c>
      <c r="O59" s="21">
        <v>0.15</v>
      </c>
    </row>
    <row r="60" spans="1:15" x14ac:dyDescent="0.3">
      <c r="A60" s="16"/>
      <c r="B60" s="1"/>
      <c r="C60" s="1" t="s">
        <v>38</v>
      </c>
      <c r="D60" s="1" t="s">
        <v>39</v>
      </c>
      <c r="E60" s="20">
        <f t="shared" si="1"/>
        <v>4.8611111111111112E-2</v>
      </c>
      <c r="F60" s="20">
        <f t="shared" si="1"/>
        <v>9.7222222222222224E-2</v>
      </c>
      <c r="G60" s="21">
        <f t="shared" si="1"/>
        <v>0.12152777777777778</v>
      </c>
      <c r="H60" s="35"/>
      <c r="I60" s="16"/>
      <c r="J60" s="1"/>
      <c r="K60" s="1" t="s">
        <v>38</v>
      </c>
      <c r="L60" s="1" t="s">
        <v>39</v>
      </c>
      <c r="M60" s="34">
        <v>0.05</v>
      </c>
      <c r="N60" s="20">
        <v>0.1</v>
      </c>
      <c r="O60" s="58">
        <v>0.125</v>
      </c>
    </row>
    <row r="61" spans="1:15" x14ac:dyDescent="0.3">
      <c r="A61" s="16"/>
      <c r="B61" s="1"/>
      <c r="C61" s="1" t="s">
        <v>41</v>
      </c>
      <c r="D61" s="1" t="s">
        <v>42</v>
      </c>
      <c r="E61" s="20">
        <f t="shared" si="1"/>
        <v>4.8611111111111112E-2</v>
      </c>
      <c r="F61" s="20">
        <f t="shared" si="1"/>
        <v>9.7222222222222224E-2</v>
      </c>
      <c r="G61" s="21">
        <f t="shared" si="1"/>
        <v>0.12152777777777778</v>
      </c>
      <c r="H61" s="35"/>
      <c r="I61" s="16"/>
      <c r="J61" s="1"/>
      <c r="K61" s="1" t="s">
        <v>41</v>
      </c>
      <c r="L61" s="1" t="s">
        <v>42</v>
      </c>
      <c r="M61" s="34">
        <v>0.1</v>
      </c>
      <c r="N61" s="20">
        <v>0.2</v>
      </c>
      <c r="O61" s="58">
        <v>0.25</v>
      </c>
    </row>
    <row r="62" spans="1:15" x14ac:dyDescent="0.3">
      <c r="A62" s="16"/>
      <c r="B62" s="1"/>
      <c r="C62" s="1" t="s">
        <v>44</v>
      </c>
      <c r="D62" s="1" t="s">
        <v>45</v>
      </c>
      <c r="E62" s="20">
        <f t="shared" si="1"/>
        <v>4.8611111111111112E-2</v>
      </c>
      <c r="F62" s="20">
        <f t="shared" si="1"/>
        <v>9.7222222222222224E-2</v>
      </c>
      <c r="G62" s="21">
        <f t="shared" si="1"/>
        <v>0.12152777777777778</v>
      </c>
      <c r="H62" s="35"/>
      <c r="I62" s="16"/>
      <c r="J62" s="1"/>
      <c r="K62" s="1"/>
      <c r="L62" s="1"/>
      <c r="M62" s="34"/>
      <c r="N62" s="20"/>
      <c r="O62" s="58"/>
    </row>
    <row r="63" spans="1:15" x14ac:dyDescent="0.3">
      <c r="A63" s="16"/>
      <c r="B63" s="1"/>
      <c r="C63" s="1" t="s">
        <v>50</v>
      </c>
      <c r="D63" s="1" t="s">
        <v>51</v>
      </c>
      <c r="E63" s="20">
        <f t="shared" si="1"/>
        <v>9.7222222222222224E-2</v>
      </c>
      <c r="F63" s="20">
        <f t="shared" si="1"/>
        <v>0.19444444444444445</v>
      </c>
      <c r="G63" s="21">
        <f t="shared" si="1"/>
        <v>0.24305555555555555</v>
      </c>
      <c r="H63" s="35"/>
      <c r="I63" s="16"/>
      <c r="J63" s="1"/>
      <c r="K63" s="1" t="s">
        <v>44</v>
      </c>
      <c r="L63" s="1" t="s">
        <v>45</v>
      </c>
      <c r="M63" s="34">
        <v>0.05</v>
      </c>
      <c r="N63" s="20">
        <v>0.1</v>
      </c>
      <c r="O63" s="58">
        <v>0.125</v>
      </c>
    </row>
    <row r="64" spans="1:15" x14ac:dyDescent="0.3">
      <c r="A64" s="16"/>
      <c r="B64" s="1"/>
      <c r="C64" s="1"/>
      <c r="D64" s="1"/>
      <c r="E64" s="20"/>
      <c r="F64" s="20"/>
      <c r="G64" s="21"/>
      <c r="H64" s="35"/>
      <c r="I64" s="16"/>
      <c r="J64" s="1"/>
      <c r="K64" s="1"/>
      <c r="L64" s="1"/>
      <c r="M64" s="34"/>
      <c r="N64" s="20"/>
      <c r="O64" s="58"/>
    </row>
    <row r="65" spans="1:15" x14ac:dyDescent="0.3">
      <c r="A65" s="16"/>
      <c r="B65" s="47"/>
      <c r="C65" s="1"/>
      <c r="D65" s="1"/>
      <c r="E65" s="1"/>
      <c r="F65" s="1"/>
      <c r="G65" s="17"/>
      <c r="H65" s="48"/>
      <c r="I65" s="16"/>
      <c r="J65" s="47"/>
      <c r="K65" s="1"/>
      <c r="L65" s="1"/>
      <c r="M65" s="1"/>
      <c r="N65" s="1"/>
      <c r="O65" s="17"/>
    </row>
    <row r="66" spans="1:15" x14ac:dyDescent="0.3">
      <c r="A66" s="16">
        <v>2</v>
      </c>
      <c r="B66" s="47"/>
      <c r="C66" s="1" t="s">
        <v>46</v>
      </c>
      <c r="D66" s="1" t="s">
        <v>39</v>
      </c>
      <c r="E66" s="20">
        <f>E79/$F$83</f>
        <v>0.15625</v>
      </c>
      <c r="F66" s="20">
        <f>F79/$F$83</f>
        <v>0.15625</v>
      </c>
      <c r="G66" s="21">
        <f>G79/$F$83</f>
        <v>0.15625</v>
      </c>
      <c r="H66" s="48"/>
      <c r="I66" s="16">
        <v>2</v>
      </c>
      <c r="J66" s="47"/>
      <c r="K66" s="1" t="s">
        <v>47</v>
      </c>
      <c r="L66" s="1" t="s">
        <v>39</v>
      </c>
      <c r="M66" s="20">
        <v>0.15</v>
      </c>
      <c r="N66" s="20">
        <v>0.15</v>
      </c>
      <c r="O66" s="21">
        <v>0.15</v>
      </c>
    </row>
    <row r="67" spans="1:15" x14ac:dyDescent="0.3">
      <c r="A67" s="16"/>
      <c r="B67" s="47"/>
      <c r="C67" s="1"/>
      <c r="D67" s="1"/>
      <c r="E67" s="1"/>
      <c r="F67" s="1"/>
      <c r="G67" s="17"/>
      <c r="H67" s="48"/>
      <c r="I67" s="16"/>
      <c r="J67" s="47"/>
      <c r="K67" s="1"/>
      <c r="L67" s="1"/>
      <c r="M67" s="1"/>
      <c r="N67" s="1"/>
      <c r="O67" s="17"/>
    </row>
    <row r="68" spans="1:15" x14ac:dyDescent="0.3">
      <c r="A68" s="16">
        <v>3</v>
      </c>
      <c r="B68" s="1"/>
      <c r="C68" s="1" t="s">
        <v>49</v>
      </c>
      <c r="D68" s="1" t="s">
        <v>36</v>
      </c>
      <c r="E68" s="20">
        <f>E81/$F$83</f>
        <v>0.15625</v>
      </c>
      <c r="F68" s="20">
        <f>F81/$F$83</f>
        <v>0.15625</v>
      </c>
      <c r="G68" s="21">
        <f>G81/$F$83</f>
        <v>0.15625</v>
      </c>
      <c r="H68" s="48"/>
      <c r="I68" s="16">
        <v>3</v>
      </c>
      <c r="J68" s="1"/>
      <c r="K68" s="1" t="s">
        <v>49</v>
      </c>
      <c r="L68" s="1" t="s">
        <v>36</v>
      </c>
      <c r="M68" s="20">
        <v>0.15</v>
      </c>
      <c r="N68" s="20">
        <v>0.15</v>
      </c>
      <c r="O68" s="21">
        <v>0.15</v>
      </c>
    </row>
    <row r="69" spans="1:15" x14ac:dyDescent="0.3">
      <c r="A69" s="16"/>
      <c r="B69" s="1"/>
      <c r="C69" s="1"/>
      <c r="D69" s="1"/>
      <c r="E69" s="20">
        <f>SUM(E59:E68)</f>
        <v>0.60763888888888884</v>
      </c>
      <c r="F69" s="20">
        <f>SUM(F59:F68)</f>
        <v>0.90277777777777779</v>
      </c>
      <c r="G69" s="21">
        <f>SUM(G59:G68)</f>
        <v>1.0763888888888888</v>
      </c>
      <c r="H69" s="48"/>
      <c r="I69" s="16"/>
      <c r="J69" s="1"/>
      <c r="K69" s="1"/>
      <c r="L69" s="1"/>
      <c r="M69" s="20">
        <v>0.55000000000000004</v>
      </c>
      <c r="N69" s="20">
        <v>0.8</v>
      </c>
      <c r="O69" s="21">
        <v>0.95000000000000007</v>
      </c>
    </row>
    <row r="70" spans="1:15" x14ac:dyDescent="0.3">
      <c r="A70" s="16" t="s">
        <v>30</v>
      </c>
      <c r="B70" s="1"/>
      <c r="C70" s="1" t="s">
        <v>31</v>
      </c>
      <c r="D70" s="1"/>
      <c r="E70" s="1"/>
      <c r="F70" s="1"/>
      <c r="G70" s="17"/>
      <c r="H70" s="48"/>
      <c r="I70" s="16" t="s">
        <v>30</v>
      </c>
      <c r="J70" s="1"/>
      <c r="K70" s="1" t="s">
        <v>31</v>
      </c>
      <c r="L70" s="1"/>
      <c r="M70" s="1"/>
      <c r="N70" s="1"/>
      <c r="O70" s="17"/>
    </row>
    <row r="71" spans="1:15" x14ac:dyDescent="0.3">
      <c r="A71" s="16" t="s">
        <v>33</v>
      </c>
      <c r="B71" s="1"/>
      <c r="C71" s="1" t="s">
        <v>34</v>
      </c>
      <c r="D71" s="1"/>
      <c r="E71" s="20">
        <v>0.9</v>
      </c>
      <c r="F71" s="20">
        <v>1</v>
      </c>
      <c r="G71" s="21">
        <v>1.1499999999999999</v>
      </c>
      <c r="H71" s="48"/>
      <c r="I71" s="16" t="s">
        <v>33</v>
      </c>
      <c r="J71" s="1"/>
      <c r="K71" s="1" t="s">
        <v>34</v>
      </c>
      <c r="L71" s="1"/>
      <c r="M71" s="20">
        <v>0.9</v>
      </c>
      <c r="N71" s="20">
        <v>1</v>
      </c>
      <c r="O71" s="21">
        <v>1.1499999999999999</v>
      </c>
    </row>
    <row r="72" spans="1:15" x14ac:dyDescent="0.3">
      <c r="A72" s="16"/>
      <c r="B72" s="1"/>
      <c r="C72" s="1" t="s">
        <v>35</v>
      </c>
      <c r="D72" s="1" t="s">
        <v>36</v>
      </c>
      <c r="E72" s="32">
        <v>75</v>
      </c>
      <c r="F72" s="32">
        <v>150</v>
      </c>
      <c r="G72" s="53">
        <v>225</v>
      </c>
      <c r="H72" s="48"/>
      <c r="I72" s="16"/>
      <c r="J72" s="1"/>
      <c r="K72" s="1" t="s">
        <v>35</v>
      </c>
      <c r="L72" s="1" t="s">
        <v>36</v>
      </c>
      <c r="M72" s="32">
        <v>100</v>
      </c>
      <c r="N72" s="32">
        <v>200</v>
      </c>
      <c r="O72" s="53">
        <v>300</v>
      </c>
    </row>
    <row r="73" spans="1:15" x14ac:dyDescent="0.3">
      <c r="A73" s="16"/>
      <c r="B73" s="1"/>
      <c r="C73" s="1" t="s">
        <v>38</v>
      </c>
      <c r="D73" s="1" t="s">
        <v>39</v>
      </c>
      <c r="E73" s="32">
        <v>70</v>
      </c>
      <c r="F73" s="32">
        <v>140</v>
      </c>
      <c r="G73" s="53">
        <v>175</v>
      </c>
      <c r="H73" s="60"/>
      <c r="I73" s="16"/>
      <c r="J73" s="1"/>
      <c r="K73" s="1" t="s">
        <v>38</v>
      </c>
      <c r="L73" s="1" t="s">
        <v>39</v>
      </c>
      <c r="M73" s="32">
        <v>85</v>
      </c>
      <c r="N73" s="32">
        <v>170</v>
      </c>
      <c r="O73" s="53">
        <v>220</v>
      </c>
    </row>
    <row r="74" spans="1:15" x14ac:dyDescent="0.3">
      <c r="A74" s="16"/>
      <c r="B74" s="1"/>
      <c r="C74" s="1" t="s">
        <v>41</v>
      </c>
      <c r="D74" s="1" t="s">
        <v>42</v>
      </c>
      <c r="E74" s="32">
        <v>70</v>
      </c>
      <c r="F74" s="32">
        <v>140</v>
      </c>
      <c r="G74" s="53">
        <v>175</v>
      </c>
      <c r="H74" s="60"/>
      <c r="I74" s="16"/>
      <c r="J74" s="1"/>
      <c r="K74" s="1" t="s">
        <v>41</v>
      </c>
      <c r="L74" s="1" t="s">
        <v>42</v>
      </c>
      <c r="M74" s="32">
        <v>85</v>
      </c>
      <c r="N74" s="32">
        <v>170</v>
      </c>
      <c r="O74" s="53">
        <v>220</v>
      </c>
    </row>
    <row r="75" spans="1:15" x14ac:dyDescent="0.3">
      <c r="A75" s="16"/>
      <c r="B75" s="1"/>
      <c r="C75" s="1" t="s">
        <v>44</v>
      </c>
      <c r="D75" s="1" t="s">
        <v>45</v>
      </c>
      <c r="E75" s="32">
        <v>70</v>
      </c>
      <c r="F75" s="32">
        <v>140</v>
      </c>
      <c r="G75" s="53">
        <v>175</v>
      </c>
      <c r="H75" s="60"/>
      <c r="I75" s="16"/>
      <c r="J75" s="1"/>
      <c r="K75" s="1" t="s">
        <v>44</v>
      </c>
      <c r="L75" s="1" t="s">
        <v>45</v>
      </c>
      <c r="M75" s="32">
        <v>85</v>
      </c>
      <c r="N75" s="32">
        <v>170</v>
      </c>
      <c r="O75" s="53">
        <v>220</v>
      </c>
    </row>
    <row r="76" spans="1:15" x14ac:dyDescent="0.3">
      <c r="A76" s="16"/>
      <c r="B76" s="1"/>
      <c r="C76" s="1" t="s">
        <v>50</v>
      </c>
      <c r="D76" s="1" t="s">
        <v>51</v>
      </c>
      <c r="E76" s="32">
        <v>140</v>
      </c>
      <c r="F76" s="32">
        <v>280</v>
      </c>
      <c r="G76" s="53">
        <v>350</v>
      </c>
      <c r="H76" s="48"/>
      <c r="I76" s="16"/>
      <c r="J76" s="1"/>
      <c r="K76" s="1" t="s">
        <v>50</v>
      </c>
      <c r="L76" s="1" t="s">
        <v>51</v>
      </c>
      <c r="M76" s="32">
        <v>85</v>
      </c>
      <c r="N76" s="32">
        <v>170</v>
      </c>
      <c r="O76" s="53">
        <v>220</v>
      </c>
    </row>
    <row r="77" spans="1:15" x14ac:dyDescent="0.3">
      <c r="A77" s="16"/>
      <c r="B77" s="1"/>
      <c r="C77" s="1" t="s">
        <v>342</v>
      </c>
      <c r="D77" s="1" t="s">
        <v>343</v>
      </c>
      <c r="E77" s="32">
        <v>70</v>
      </c>
      <c r="F77" s="32">
        <v>140</v>
      </c>
      <c r="G77" s="53">
        <v>175</v>
      </c>
      <c r="H77" s="48"/>
      <c r="I77" s="16"/>
      <c r="J77" s="1"/>
      <c r="K77" s="1"/>
      <c r="L77" s="1"/>
      <c r="M77" s="32"/>
      <c r="N77" s="32"/>
      <c r="O77" s="53"/>
    </row>
    <row r="78" spans="1:15" x14ac:dyDescent="0.3">
      <c r="A78" s="16"/>
      <c r="B78" s="47"/>
      <c r="C78" s="1"/>
      <c r="D78" s="1"/>
      <c r="E78" s="1"/>
      <c r="F78" s="1"/>
      <c r="G78" s="17"/>
      <c r="H78" s="48"/>
      <c r="I78" s="16"/>
      <c r="J78" s="47"/>
      <c r="K78" s="1"/>
      <c r="L78" s="1"/>
      <c r="M78" s="1"/>
      <c r="N78" s="1"/>
      <c r="O78" s="17"/>
    </row>
    <row r="79" spans="1:15" x14ac:dyDescent="0.3">
      <c r="A79" s="16">
        <v>2</v>
      </c>
      <c r="B79" s="47"/>
      <c r="C79" s="1" t="s">
        <v>46</v>
      </c>
      <c r="D79" s="1" t="s">
        <v>39</v>
      </c>
      <c r="E79" s="32">
        <v>225</v>
      </c>
      <c r="F79" s="32">
        <v>225</v>
      </c>
      <c r="G79" s="53">
        <v>225</v>
      </c>
      <c r="H79" s="48"/>
      <c r="I79" s="16">
        <v>2</v>
      </c>
      <c r="J79" s="47"/>
      <c r="K79" s="1" t="s">
        <v>47</v>
      </c>
      <c r="L79" s="1" t="s">
        <v>39</v>
      </c>
      <c r="M79" s="32">
        <v>300</v>
      </c>
      <c r="N79" s="32">
        <v>300</v>
      </c>
      <c r="O79" s="53">
        <v>300</v>
      </c>
    </row>
    <row r="80" spans="1:15" x14ac:dyDescent="0.3">
      <c r="A80" s="16"/>
      <c r="B80" s="47"/>
      <c r="C80" s="1"/>
      <c r="D80" s="1"/>
      <c r="E80" s="1"/>
      <c r="F80" s="1"/>
      <c r="G80" s="17"/>
      <c r="H80" s="48"/>
      <c r="I80" s="16"/>
      <c r="J80" s="47"/>
      <c r="K80" s="1"/>
      <c r="L80" s="1"/>
      <c r="M80" s="1"/>
      <c r="N80" s="1"/>
      <c r="O80" s="17"/>
    </row>
    <row r="81" spans="1:15" x14ac:dyDescent="0.3">
      <c r="A81" s="16">
        <v>3</v>
      </c>
      <c r="B81" s="1"/>
      <c r="C81" s="1" t="s">
        <v>49</v>
      </c>
      <c r="D81" s="1" t="s">
        <v>36</v>
      </c>
      <c r="E81" s="32">
        <v>225</v>
      </c>
      <c r="F81" s="32">
        <v>225</v>
      </c>
      <c r="G81" s="53">
        <v>225</v>
      </c>
      <c r="H81" s="48"/>
      <c r="I81" s="16">
        <v>3</v>
      </c>
      <c r="J81" s="1"/>
      <c r="K81" s="1" t="s">
        <v>49</v>
      </c>
      <c r="L81" s="1" t="s">
        <v>36</v>
      </c>
      <c r="M81" s="32">
        <v>300</v>
      </c>
      <c r="N81" s="32">
        <v>300</v>
      </c>
      <c r="O81" s="53">
        <v>300</v>
      </c>
    </row>
    <row r="82" spans="1:15" x14ac:dyDescent="0.3">
      <c r="A82" s="16"/>
      <c r="B82" s="1"/>
      <c r="C82" s="1"/>
      <c r="D82" s="1"/>
      <c r="E82" s="1"/>
      <c r="F82" s="1"/>
      <c r="G82" s="17"/>
      <c r="H82" s="48"/>
      <c r="I82" s="16"/>
      <c r="J82" s="1"/>
      <c r="K82" s="1"/>
      <c r="L82" s="1"/>
      <c r="M82" s="1"/>
      <c r="N82" s="1"/>
      <c r="O82" s="17"/>
    </row>
    <row r="83" spans="1:15" x14ac:dyDescent="0.3">
      <c r="A83" s="54"/>
      <c r="B83" s="55"/>
      <c r="C83" s="55"/>
      <c r="D83" s="55" t="s">
        <v>17</v>
      </c>
      <c r="E83" s="56">
        <f>SUM(E72:E81)</f>
        <v>945</v>
      </c>
      <c r="F83" s="56">
        <f>SUM(F72:F81)</f>
        <v>1440</v>
      </c>
      <c r="G83" s="57">
        <f>SUM(G72:G81)</f>
        <v>1725</v>
      </c>
      <c r="H83" s="48"/>
      <c r="I83" s="54"/>
      <c r="J83" s="55"/>
      <c r="K83" s="55"/>
      <c r="L83" s="55" t="s">
        <v>53</v>
      </c>
      <c r="M83" s="56">
        <f>SUM(M72:M81)+M76</f>
        <v>1125</v>
      </c>
      <c r="N83" s="56">
        <f>SUM(N72:N81)+N76</f>
        <v>1650</v>
      </c>
      <c r="O83" s="57">
        <f>SUM(O72:O81)+O76</f>
        <v>2000</v>
      </c>
    </row>
    <row r="84" spans="1:15" x14ac:dyDescent="0.3">
      <c r="H84" s="48"/>
      <c r="I84" s="48"/>
    </row>
    <row r="85" spans="1:15" ht="18" x14ac:dyDescent="0.35">
      <c r="A85" s="9"/>
      <c r="B85" s="10"/>
      <c r="C85" s="11" t="s">
        <v>22</v>
      </c>
      <c r="D85" s="11" t="s">
        <v>57</v>
      </c>
      <c r="E85" s="12" t="s">
        <v>23</v>
      </c>
      <c r="F85" s="12">
        <v>1500</v>
      </c>
      <c r="G85" s="13" t="s">
        <v>43</v>
      </c>
      <c r="H85" s="48"/>
      <c r="I85" s="48"/>
    </row>
    <row r="86" spans="1:15" x14ac:dyDescent="0.3">
      <c r="A86" s="16" t="s">
        <v>30</v>
      </c>
      <c r="B86" s="1"/>
      <c r="C86" s="1" t="s">
        <v>31</v>
      </c>
      <c r="D86" s="1"/>
      <c r="E86" s="1"/>
      <c r="F86" s="1"/>
      <c r="G86" s="17"/>
      <c r="H86" s="48"/>
      <c r="I86" s="48"/>
    </row>
    <row r="87" spans="1:15" x14ac:dyDescent="0.3">
      <c r="A87" s="16" t="s">
        <v>33</v>
      </c>
      <c r="B87" s="1"/>
      <c r="C87" s="1" t="s">
        <v>34</v>
      </c>
      <c r="D87" s="1"/>
      <c r="E87" s="20">
        <v>0.9</v>
      </c>
      <c r="F87" s="20">
        <v>1</v>
      </c>
      <c r="G87" s="21">
        <v>1.1499999999999999</v>
      </c>
      <c r="H87" s="48"/>
      <c r="I87" s="48"/>
    </row>
    <row r="88" spans="1:15" x14ac:dyDescent="0.3">
      <c r="A88" s="16"/>
      <c r="B88" s="1"/>
      <c r="C88" s="1" t="s">
        <v>35</v>
      </c>
      <c r="D88" s="1" t="s">
        <v>36</v>
      </c>
      <c r="E88" s="20">
        <v>0.05</v>
      </c>
      <c r="F88" s="20">
        <v>0.1</v>
      </c>
      <c r="G88" s="21">
        <v>0.15</v>
      </c>
      <c r="H88" s="48"/>
      <c r="I88" s="48"/>
    </row>
    <row r="89" spans="1:15" x14ac:dyDescent="0.3">
      <c r="A89" s="16"/>
      <c r="B89" s="1"/>
      <c r="C89" s="1" t="s">
        <v>38</v>
      </c>
      <c r="D89" s="1" t="s">
        <v>39</v>
      </c>
      <c r="E89" s="34">
        <v>3.7499999999999999E-2</v>
      </c>
      <c r="F89" s="34">
        <v>7.4999999999999997E-2</v>
      </c>
      <c r="G89" s="58">
        <v>0.1</v>
      </c>
      <c r="H89" s="35"/>
      <c r="I89" s="48"/>
    </row>
    <row r="90" spans="1:15" x14ac:dyDescent="0.3">
      <c r="A90" s="16"/>
      <c r="B90" s="1"/>
      <c r="C90" s="1" t="s">
        <v>41</v>
      </c>
      <c r="D90" s="1" t="s">
        <v>42</v>
      </c>
      <c r="E90" s="34">
        <v>7.4999999999999997E-2</v>
      </c>
      <c r="F90" s="34">
        <v>0.15</v>
      </c>
      <c r="G90" s="58">
        <v>0.2</v>
      </c>
      <c r="H90" s="35"/>
      <c r="I90" s="48"/>
    </row>
    <row r="91" spans="1:15" x14ac:dyDescent="0.3">
      <c r="A91" s="16"/>
      <c r="B91" s="1"/>
      <c r="C91" s="1" t="s">
        <v>44</v>
      </c>
      <c r="D91" s="1" t="s">
        <v>45</v>
      </c>
      <c r="E91" s="34">
        <v>3.7499999999999999E-2</v>
      </c>
      <c r="F91" s="20">
        <v>7.4999999999999997E-2</v>
      </c>
      <c r="G91" s="58">
        <v>0.1</v>
      </c>
      <c r="H91" s="35"/>
      <c r="I91" s="48"/>
    </row>
    <row r="92" spans="1:15" x14ac:dyDescent="0.3">
      <c r="A92" s="16"/>
      <c r="B92" s="1"/>
      <c r="C92" s="1"/>
      <c r="D92" s="1"/>
      <c r="E92" s="34"/>
      <c r="F92" s="20"/>
      <c r="G92" s="58"/>
      <c r="H92" s="35"/>
      <c r="I92" s="48"/>
    </row>
    <row r="93" spans="1:15" x14ac:dyDescent="0.3">
      <c r="A93" s="16"/>
      <c r="B93" s="1"/>
      <c r="C93" s="1"/>
      <c r="D93" s="1"/>
      <c r="E93" s="34"/>
      <c r="F93" s="20"/>
      <c r="G93" s="58"/>
      <c r="H93" s="35"/>
      <c r="I93" s="48"/>
    </row>
    <row r="94" spans="1:15" x14ac:dyDescent="0.3">
      <c r="A94" s="16"/>
      <c r="B94" s="47"/>
      <c r="C94" s="1"/>
      <c r="D94" s="1"/>
      <c r="E94" s="1"/>
      <c r="F94" s="1"/>
      <c r="G94" s="17"/>
      <c r="H94" s="48"/>
      <c r="I94" s="48"/>
    </row>
    <row r="95" spans="1:15" x14ac:dyDescent="0.3">
      <c r="A95" s="16">
        <v>2</v>
      </c>
      <c r="B95" s="47"/>
      <c r="C95" s="1" t="s">
        <v>46</v>
      </c>
      <c r="D95" s="1" t="s">
        <v>39</v>
      </c>
      <c r="E95" s="20">
        <v>0.15</v>
      </c>
      <c r="F95" s="20">
        <v>0.15</v>
      </c>
      <c r="G95" s="21">
        <v>0.15</v>
      </c>
      <c r="H95" s="48"/>
      <c r="I95" s="48"/>
    </row>
    <row r="96" spans="1:15" x14ac:dyDescent="0.3">
      <c r="A96" s="16"/>
      <c r="B96" s="47"/>
      <c r="C96" s="1"/>
      <c r="D96" s="1"/>
      <c r="E96" s="1"/>
      <c r="F96" s="1"/>
      <c r="G96" s="17"/>
      <c r="H96" s="48"/>
      <c r="I96" s="48"/>
    </row>
    <row r="97" spans="1:12" x14ac:dyDescent="0.3">
      <c r="A97" s="16">
        <v>3</v>
      </c>
      <c r="B97" s="1"/>
      <c r="C97" s="1" t="s">
        <v>49</v>
      </c>
      <c r="D97" s="1" t="s">
        <v>36</v>
      </c>
      <c r="E97" s="20">
        <v>0.15</v>
      </c>
      <c r="F97" s="20">
        <v>0.15</v>
      </c>
      <c r="G97" s="21">
        <v>0.15</v>
      </c>
      <c r="H97" s="48"/>
      <c r="I97" s="48"/>
    </row>
    <row r="98" spans="1:12" x14ac:dyDescent="0.3">
      <c r="A98" s="16"/>
      <c r="B98" s="1"/>
      <c r="C98" s="1"/>
      <c r="D98" s="1"/>
      <c r="E98" s="20">
        <v>0.5</v>
      </c>
      <c r="F98" s="20">
        <v>0.7</v>
      </c>
      <c r="G98" s="21">
        <v>0.85000000000000009</v>
      </c>
      <c r="H98" s="48"/>
      <c r="I98" s="48"/>
    </row>
    <row r="99" spans="1:12" x14ac:dyDescent="0.3">
      <c r="A99" s="16" t="s">
        <v>30</v>
      </c>
      <c r="B99" s="1"/>
      <c r="C99" s="1" t="s">
        <v>31</v>
      </c>
      <c r="D99" s="1"/>
      <c r="E99" s="1"/>
      <c r="F99" s="1"/>
      <c r="G99" s="17"/>
      <c r="H99" s="48"/>
      <c r="I99" s="48"/>
    </row>
    <row r="100" spans="1:12" x14ac:dyDescent="0.3">
      <c r="A100" s="16" t="s">
        <v>33</v>
      </c>
      <c r="B100" s="1"/>
      <c r="C100" s="1" t="s">
        <v>34</v>
      </c>
      <c r="D100" s="1"/>
      <c r="E100" s="20">
        <v>0.9</v>
      </c>
      <c r="F100" s="20">
        <v>1</v>
      </c>
      <c r="G100" s="21">
        <v>1.1499999999999999</v>
      </c>
      <c r="H100" s="48"/>
      <c r="I100" s="48"/>
    </row>
    <row r="101" spans="1:12" x14ac:dyDescent="0.3">
      <c r="A101" s="16"/>
      <c r="B101" s="1"/>
      <c r="C101" s="1" t="s">
        <v>35</v>
      </c>
      <c r="D101" s="1" t="s">
        <v>36</v>
      </c>
      <c r="E101" s="32">
        <v>75</v>
      </c>
      <c r="F101" s="32">
        <v>150</v>
      </c>
      <c r="G101" s="53">
        <v>225</v>
      </c>
      <c r="H101" s="48"/>
      <c r="I101" s="48">
        <f>E101/775</f>
        <v>9.6774193548387094E-2</v>
      </c>
      <c r="L101" s="73">
        <f>I101*$K$103</f>
        <v>35.260838709677415</v>
      </c>
    </row>
    <row r="102" spans="1:12" x14ac:dyDescent="0.3">
      <c r="A102" s="16"/>
      <c r="B102" s="1"/>
      <c r="C102" s="1" t="s">
        <v>38</v>
      </c>
      <c r="D102" s="1" t="s">
        <v>39</v>
      </c>
      <c r="E102" s="32">
        <v>50</v>
      </c>
      <c r="F102" s="32">
        <v>100</v>
      </c>
      <c r="G102" s="53">
        <v>125</v>
      </c>
      <c r="H102" s="60"/>
      <c r="I102" s="48">
        <f t="shared" ref="I102:I112" si="2">E102/775</f>
        <v>6.4516129032258063E-2</v>
      </c>
      <c r="L102" s="73">
        <f t="shared" ref="L102:L112" si="3">I102*$K$103</f>
        <v>23.507225806451611</v>
      </c>
    </row>
    <row r="103" spans="1:12" x14ac:dyDescent="0.3">
      <c r="A103" s="16"/>
      <c r="B103" s="1"/>
      <c r="C103" s="1" t="s">
        <v>41</v>
      </c>
      <c r="D103" s="1" t="s">
        <v>42</v>
      </c>
      <c r="E103" s="32">
        <v>50</v>
      </c>
      <c r="F103" s="32">
        <v>100</v>
      </c>
      <c r="G103" s="53">
        <v>125</v>
      </c>
      <c r="H103" s="60"/>
      <c r="I103" s="48">
        <f t="shared" si="2"/>
        <v>6.4516129032258063E-2</v>
      </c>
      <c r="K103" s="60">
        <v>364.36199999999997</v>
      </c>
      <c r="L103" s="73">
        <f t="shared" si="3"/>
        <v>23.507225806451611</v>
      </c>
    </row>
    <row r="104" spans="1:12" x14ac:dyDescent="0.3">
      <c r="A104" s="16"/>
      <c r="B104" s="1"/>
      <c r="C104" s="1" t="s">
        <v>44</v>
      </c>
      <c r="D104" s="1" t="s">
        <v>45</v>
      </c>
      <c r="E104" s="32">
        <v>50</v>
      </c>
      <c r="F104" s="32">
        <v>100</v>
      </c>
      <c r="G104" s="53">
        <v>125</v>
      </c>
      <c r="H104" s="60"/>
      <c r="I104" s="48">
        <f t="shared" si="2"/>
        <v>6.4516129032258063E-2</v>
      </c>
      <c r="L104" s="73">
        <f t="shared" si="3"/>
        <v>23.507225806451611</v>
      </c>
    </row>
    <row r="105" spans="1:12" x14ac:dyDescent="0.3">
      <c r="A105" s="16"/>
      <c r="B105" s="1"/>
      <c r="C105" s="1" t="s">
        <v>50</v>
      </c>
      <c r="D105" s="1" t="s">
        <v>51</v>
      </c>
      <c r="E105" s="32">
        <v>100</v>
      </c>
      <c r="F105" s="32">
        <v>200</v>
      </c>
      <c r="G105" s="53">
        <v>250</v>
      </c>
      <c r="H105" s="48"/>
      <c r="I105" s="48">
        <f t="shared" si="2"/>
        <v>0.12903225806451613</v>
      </c>
      <c r="L105" s="73">
        <f t="shared" si="3"/>
        <v>47.014451612903223</v>
      </c>
    </row>
    <row r="106" spans="1:12" x14ac:dyDescent="0.3">
      <c r="A106" s="16"/>
      <c r="B106" s="1"/>
      <c r="C106" s="1" t="s">
        <v>342</v>
      </c>
      <c r="D106" s="1" t="s">
        <v>343</v>
      </c>
      <c r="E106" s="32">
        <v>50</v>
      </c>
      <c r="F106" s="32">
        <v>100</v>
      </c>
      <c r="G106" s="53">
        <v>125</v>
      </c>
      <c r="H106" s="48"/>
      <c r="I106" s="48">
        <f t="shared" si="2"/>
        <v>6.4516129032258063E-2</v>
      </c>
      <c r="L106" s="73">
        <f t="shared" si="3"/>
        <v>23.507225806451611</v>
      </c>
    </row>
    <row r="107" spans="1:12" x14ac:dyDescent="0.3">
      <c r="A107" s="16"/>
      <c r="B107" s="47"/>
      <c r="C107" s="1"/>
      <c r="D107" s="1"/>
      <c r="E107" s="1"/>
      <c r="F107" s="1"/>
      <c r="G107" s="17"/>
      <c r="H107" s="48"/>
      <c r="I107" s="48">
        <f t="shared" si="2"/>
        <v>0</v>
      </c>
      <c r="K107" s="73"/>
      <c r="L107" s="73">
        <f t="shared" si="3"/>
        <v>0</v>
      </c>
    </row>
    <row r="108" spans="1:12" x14ac:dyDescent="0.3">
      <c r="A108" s="16">
        <v>2</v>
      </c>
      <c r="B108" s="47"/>
      <c r="C108" s="1" t="s">
        <v>46</v>
      </c>
      <c r="D108" s="1" t="s">
        <v>39</v>
      </c>
      <c r="E108" s="32">
        <v>225</v>
      </c>
      <c r="F108" s="32">
        <v>225</v>
      </c>
      <c r="G108" s="53">
        <v>225</v>
      </c>
      <c r="H108" s="48"/>
      <c r="I108" s="48">
        <v>0.28999999999999998</v>
      </c>
      <c r="L108" s="73">
        <f t="shared" si="3"/>
        <v>105.66497999999999</v>
      </c>
    </row>
    <row r="109" spans="1:12" x14ac:dyDescent="0.3">
      <c r="A109" s="16"/>
      <c r="B109" s="47"/>
      <c r="C109" s="1"/>
      <c r="D109" s="1"/>
      <c r="E109" s="1"/>
      <c r="F109" s="1"/>
      <c r="G109" s="17"/>
      <c r="H109" s="48"/>
      <c r="I109" s="48">
        <f t="shared" si="2"/>
        <v>0</v>
      </c>
      <c r="L109" s="73">
        <f t="shared" si="3"/>
        <v>0</v>
      </c>
    </row>
    <row r="110" spans="1:12" x14ac:dyDescent="0.3">
      <c r="A110" s="16">
        <v>3</v>
      </c>
      <c r="B110" s="1"/>
      <c r="C110" s="1" t="s">
        <v>49</v>
      </c>
      <c r="D110" s="1" t="s">
        <v>36</v>
      </c>
      <c r="E110" s="32">
        <v>225</v>
      </c>
      <c r="F110" s="32">
        <v>225</v>
      </c>
      <c r="G110" s="53">
        <v>225</v>
      </c>
      <c r="H110" s="48"/>
      <c r="I110" s="48">
        <v>0.28999999999999998</v>
      </c>
      <c r="L110" s="73">
        <f t="shared" si="3"/>
        <v>105.66497999999999</v>
      </c>
    </row>
    <row r="111" spans="1:12" x14ac:dyDescent="0.3">
      <c r="A111" s="16"/>
      <c r="B111" s="1"/>
      <c r="C111" s="1"/>
      <c r="D111" s="1"/>
      <c r="E111" s="1"/>
      <c r="F111" s="1"/>
      <c r="G111" s="17"/>
      <c r="H111" s="48"/>
      <c r="I111" s="48">
        <f t="shared" si="2"/>
        <v>0</v>
      </c>
      <c r="L111" s="73">
        <f t="shared" si="3"/>
        <v>0</v>
      </c>
    </row>
    <row r="112" spans="1:12" x14ac:dyDescent="0.3">
      <c r="A112" s="54"/>
      <c r="B112" s="55"/>
      <c r="C112" s="55"/>
      <c r="D112" s="55" t="s">
        <v>53</v>
      </c>
      <c r="E112" s="56">
        <f>SUM(E101:E110)</f>
        <v>825</v>
      </c>
      <c r="F112" s="56">
        <f>SUM(F101:F110)</f>
        <v>1200</v>
      </c>
      <c r="G112" s="57">
        <f>SUM(G101:G110)</f>
        <v>1425</v>
      </c>
      <c r="H112" s="48"/>
      <c r="I112" s="48">
        <f t="shared" si="2"/>
        <v>1.064516129032258</v>
      </c>
      <c r="L112" s="73">
        <f t="shared" si="3"/>
        <v>387.86922580645154</v>
      </c>
    </row>
    <row r="114" spans="1:11" ht="18" x14ac:dyDescent="0.35">
      <c r="A114" s="9"/>
      <c r="B114" s="10"/>
      <c r="C114" s="11" t="s">
        <v>22</v>
      </c>
      <c r="D114" s="11" t="s">
        <v>351</v>
      </c>
      <c r="E114" s="12" t="s">
        <v>23</v>
      </c>
      <c r="F114" s="12">
        <v>1500</v>
      </c>
      <c r="G114" s="13" t="s">
        <v>43</v>
      </c>
    </row>
    <row r="115" spans="1:11" ht="14.4" hidden="1" customHeight="1" x14ac:dyDescent="0.3">
      <c r="A115" s="16" t="s">
        <v>30</v>
      </c>
      <c r="B115" s="1"/>
      <c r="C115" s="1" t="s">
        <v>31</v>
      </c>
      <c r="D115" s="1"/>
      <c r="E115" s="1"/>
      <c r="F115" s="1"/>
      <c r="G115" s="17"/>
    </row>
    <row r="116" spans="1:11" ht="14.4" hidden="1" customHeight="1" x14ac:dyDescent="0.3">
      <c r="A116" s="16" t="s">
        <v>33</v>
      </c>
      <c r="B116" s="1"/>
      <c r="C116" s="1" t="s">
        <v>34</v>
      </c>
      <c r="D116" s="1"/>
      <c r="E116" s="20">
        <v>0.9</v>
      </c>
      <c r="F116" s="20">
        <v>1</v>
      </c>
      <c r="G116" s="21">
        <v>1.1499999999999999</v>
      </c>
    </row>
    <row r="117" spans="1:11" ht="14.4" hidden="1" customHeight="1" x14ac:dyDescent="0.3">
      <c r="A117" s="16"/>
      <c r="B117" s="1"/>
      <c r="C117" s="1" t="s">
        <v>35</v>
      </c>
      <c r="D117" s="1" t="s">
        <v>36</v>
      </c>
      <c r="E117" s="20">
        <v>0.05</v>
      </c>
      <c r="F117" s="20">
        <v>0.1</v>
      </c>
      <c r="G117" s="21">
        <v>0.15</v>
      </c>
    </row>
    <row r="118" spans="1:11" ht="14.4" hidden="1" customHeight="1" x14ac:dyDescent="0.3">
      <c r="A118" s="16"/>
      <c r="B118" s="1"/>
      <c r="C118" s="1" t="s">
        <v>38</v>
      </c>
      <c r="D118" s="1" t="s">
        <v>39</v>
      </c>
      <c r="E118" s="34">
        <v>3.7499999999999999E-2</v>
      </c>
      <c r="F118" s="34">
        <v>7.4999999999999997E-2</v>
      </c>
      <c r="G118" s="58">
        <v>0.1</v>
      </c>
    </row>
    <row r="119" spans="1:11" ht="14.4" hidden="1" customHeight="1" x14ac:dyDescent="0.3">
      <c r="A119" s="16"/>
      <c r="B119" s="1"/>
      <c r="C119" s="1" t="s">
        <v>41</v>
      </c>
      <c r="D119" s="1" t="s">
        <v>42</v>
      </c>
      <c r="E119" s="34">
        <v>7.4999999999999997E-2</v>
      </c>
      <c r="F119" s="34">
        <v>0.15</v>
      </c>
      <c r="G119" s="58">
        <v>0.2</v>
      </c>
    </row>
    <row r="120" spans="1:11" ht="14.4" hidden="1" customHeight="1" x14ac:dyDescent="0.3">
      <c r="A120" s="16"/>
      <c r="B120" s="1"/>
      <c r="C120" s="1" t="s">
        <v>44</v>
      </c>
      <c r="D120" s="1" t="s">
        <v>45</v>
      </c>
      <c r="E120" s="34">
        <v>3.7499999999999999E-2</v>
      </c>
      <c r="F120" s="20">
        <v>7.4999999999999997E-2</v>
      </c>
      <c r="G120" s="58">
        <v>0.1</v>
      </c>
    </row>
    <row r="121" spans="1:11" ht="14.4" hidden="1" customHeight="1" x14ac:dyDescent="0.3">
      <c r="A121" s="16"/>
      <c r="B121" s="47"/>
      <c r="C121" s="1"/>
      <c r="D121" s="1"/>
      <c r="E121" s="1"/>
      <c r="F121" s="1"/>
      <c r="G121" s="17"/>
      <c r="K121" s="73"/>
    </row>
    <row r="122" spans="1:11" ht="14.4" hidden="1" customHeight="1" x14ac:dyDescent="0.3">
      <c r="A122" s="16">
        <v>2</v>
      </c>
      <c r="B122" s="47"/>
      <c r="C122" s="1" t="s">
        <v>46</v>
      </c>
      <c r="D122" s="1" t="s">
        <v>39</v>
      </c>
      <c r="E122" s="20">
        <v>0.15</v>
      </c>
      <c r="F122" s="20">
        <v>0.15</v>
      </c>
      <c r="G122" s="21">
        <v>0.15</v>
      </c>
    </row>
    <row r="123" spans="1:11" ht="14.4" hidden="1" customHeight="1" x14ac:dyDescent="0.3">
      <c r="A123" s="16"/>
      <c r="B123" s="47"/>
      <c r="C123" s="1"/>
      <c r="D123" s="1"/>
      <c r="E123" s="1"/>
      <c r="F123" s="1"/>
      <c r="G123" s="17"/>
    </row>
    <row r="124" spans="1:11" ht="14.4" hidden="1" customHeight="1" x14ac:dyDescent="0.3">
      <c r="A124" s="16">
        <v>3</v>
      </c>
      <c r="B124" s="1"/>
      <c r="C124" s="1" t="s">
        <v>49</v>
      </c>
      <c r="D124" s="1" t="s">
        <v>36</v>
      </c>
      <c r="E124" s="20">
        <v>0.15</v>
      </c>
      <c r="F124" s="20">
        <v>0.15</v>
      </c>
      <c r="G124" s="21">
        <v>0.15</v>
      </c>
    </row>
    <row r="125" spans="1:11" ht="14.4" hidden="1" customHeight="1" x14ac:dyDescent="0.3">
      <c r="A125" s="16"/>
      <c r="B125" s="1"/>
      <c r="C125" s="1"/>
      <c r="D125" s="1"/>
      <c r="E125" s="20">
        <v>0.5</v>
      </c>
      <c r="F125" s="20">
        <v>0.7</v>
      </c>
      <c r="G125" s="21">
        <v>0.85000000000000009</v>
      </c>
    </row>
    <row r="126" spans="1:11" x14ac:dyDescent="0.3">
      <c r="A126" s="16" t="s">
        <v>30</v>
      </c>
      <c r="B126" s="1"/>
      <c r="C126" s="1" t="s">
        <v>31</v>
      </c>
      <c r="D126" s="1"/>
      <c r="E126" s="1"/>
      <c r="F126" s="1"/>
      <c r="G126" s="17"/>
    </row>
    <row r="127" spans="1:11" x14ac:dyDescent="0.3">
      <c r="A127" s="16" t="s">
        <v>33</v>
      </c>
      <c r="B127" s="1"/>
      <c r="C127" s="1" t="s">
        <v>34</v>
      </c>
      <c r="D127" s="1"/>
      <c r="E127" s="20">
        <v>0.9</v>
      </c>
      <c r="F127" s="20">
        <v>1</v>
      </c>
      <c r="G127" s="21">
        <v>1.1499999999999999</v>
      </c>
    </row>
    <row r="128" spans="1:11" x14ac:dyDescent="0.3">
      <c r="A128" s="16"/>
      <c r="B128" s="1"/>
      <c r="C128" s="1" t="s">
        <v>35</v>
      </c>
      <c r="D128" s="1" t="s">
        <v>352</v>
      </c>
      <c r="E128" s="32">
        <v>75</v>
      </c>
      <c r="F128" s="32">
        <v>150</v>
      </c>
      <c r="G128" s="53">
        <v>225</v>
      </c>
    </row>
    <row r="129" spans="1:7" x14ac:dyDescent="0.3">
      <c r="A129" s="16"/>
      <c r="B129" s="1"/>
      <c r="C129" s="1" t="s">
        <v>38</v>
      </c>
      <c r="D129" s="1" t="s">
        <v>42</v>
      </c>
      <c r="E129" s="32">
        <v>100</v>
      </c>
      <c r="F129" s="32">
        <v>225</v>
      </c>
      <c r="G129" s="53">
        <v>300</v>
      </c>
    </row>
    <row r="130" spans="1:7" x14ac:dyDescent="0.3">
      <c r="A130" s="16"/>
      <c r="B130" s="47"/>
      <c r="C130" s="1"/>
      <c r="D130" s="1"/>
      <c r="E130" s="1"/>
      <c r="F130" s="1"/>
      <c r="G130" s="17"/>
    </row>
    <row r="131" spans="1:7" x14ac:dyDescent="0.3">
      <c r="A131" s="16" t="s">
        <v>353</v>
      </c>
      <c r="B131" s="1"/>
      <c r="C131" s="1" t="s">
        <v>49</v>
      </c>
      <c r="D131" s="1" t="s">
        <v>49</v>
      </c>
      <c r="E131" s="32">
        <v>225</v>
      </c>
      <c r="F131" s="32">
        <v>225</v>
      </c>
      <c r="G131" s="53">
        <v>225</v>
      </c>
    </row>
    <row r="132" spans="1:7" x14ac:dyDescent="0.3">
      <c r="A132" s="16"/>
      <c r="B132" s="1"/>
      <c r="C132" s="1"/>
      <c r="D132" s="1"/>
      <c r="E132" s="1"/>
      <c r="F132" s="1"/>
      <c r="G132" s="17"/>
    </row>
    <row r="133" spans="1:7" x14ac:dyDescent="0.3">
      <c r="A133" s="54"/>
      <c r="B133" s="55"/>
      <c r="C133" s="55"/>
      <c r="D133" s="55" t="s">
        <v>17</v>
      </c>
      <c r="E133" s="56">
        <f>SUM(E128:E131)</f>
        <v>400</v>
      </c>
      <c r="F133" s="56">
        <f>SUM(F128:F131)</f>
        <v>600</v>
      </c>
      <c r="G133" s="57">
        <f>SUM(G128:G131)</f>
        <v>750</v>
      </c>
    </row>
  </sheetData>
  <mergeCells count="22">
    <mergeCell ref="AJ15:AL15"/>
    <mergeCell ref="AR15:AT15"/>
    <mergeCell ref="U2:W2"/>
    <mergeCell ref="AA2:AC2"/>
    <mergeCell ref="AJ2:AL2"/>
    <mergeCell ref="AR2:AT2"/>
    <mergeCell ref="T12:W12"/>
    <mergeCell ref="T41:U41"/>
    <mergeCell ref="V41:W41"/>
    <mergeCell ref="T10:W11"/>
    <mergeCell ref="U29:W29"/>
    <mergeCell ref="T34:W34"/>
    <mergeCell ref="T35:U35"/>
    <mergeCell ref="T36:U36"/>
    <mergeCell ref="T37:U37"/>
    <mergeCell ref="T40:W40"/>
    <mergeCell ref="U19:W19"/>
    <mergeCell ref="U20:W20"/>
    <mergeCell ref="U21:W21"/>
    <mergeCell ref="U22:W22"/>
    <mergeCell ref="U24:W24"/>
    <mergeCell ref="U25:W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74AD-A757-4100-A146-FBD1272C603B}">
  <dimension ref="A1:AO37"/>
  <sheetViews>
    <sheetView showGridLines="0" zoomScale="85" zoomScaleNormal="85" workbookViewId="0">
      <selection activeCell="F8" sqref="F8"/>
    </sheetView>
  </sheetViews>
  <sheetFormatPr defaultColWidth="9.109375" defaultRowHeight="14.4" x14ac:dyDescent="0.3"/>
  <cols>
    <col min="1" max="1" width="17.44140625" style="1" bestFit="1" customWidth="1"/>
    <col min="2" max="2" width="14.44140625" style="1" bestFit="1" customWidth="1"/>
    <col min="3" max="3" width="10.5546875" style="1" bestFit="1" customWidth="1"/>
    <col min="4" max="4" width="11" style="1" bestFit="1" customWidth="1"/>
    <col min="5" max="5" width="12.109375" style="1" bestFit="1" customWidth="1"/>
    <col min="6" max="6" width="12.6640625" style="1" bestFit="1" customWidth="1"/>
    <col min="7" max="7" width="13.44140625" style="1" bestFit="1" customWidth="1"/>
    <col min="8" max="8" width="11.88671875" style="1" bestFit="1" customWidth="1"/>
    <col min="9" max="9" width="12.5546875" style="1" bestFit="1" customWidth="1"/>
    <col min="10" max="10" width="11.88671875" style="1" hidden="1" customWidth="1"/>
    <col min="11" max="11" width="12.5546875" style="1" hidden="1" customWidth="1"/>
    <col min="12" max="12" width="12.33203125" style="1" hidden="1" customWidth="1"/>
    <col min="13" max="13" width="13" style="1" hidden="1" customWidth="1"/>
    <col min="14" max="14" width="12.44140625" style="1" bestFit="1" customWidth="1"/>
    <col min="15" max="15" width="12.109375" style="1" bestFit="1" customWidth="1"/>
    <col min="16" max="16" width="11.5546875" style="1" bestFit="1" customWidth="1"/>
    <col min="17" max="17" width="12.33203125" style="1" bestFit="1" customWidth="1"/>
    <col min="18" max="18" width="13.33203125" style="1" bestFit="1" customWidth="1"/>
    <col min="19" max="19" width="15.109375" style="1" bestFit="1" customWidth="1"/>
    <col min="20" max="20" width="13.88671875" style="1" bestFit="1" customWidth="1"/>
    <col min="21" max="21" width="11.6640625" style="1" bestFit="1" customWidth="1"/>
    <col min="22" max="23" width="9.109375" style="1"/>
    <col min="24" max="24" width="18.5546875" style="1" bestFit="1" customWidth="1"/>
    <col min="25" max="25" width="15.88671875" style="1" bestFit="1" customWidth="1"/>
    <col min="26" max="26" width="10.5546875" style="1" bestFit="1" customWidth="1"/>
    <col min="27" max="27" width="11" style="1" bestFit="1" customWidth="1"/>
    <col min="28" max="28" width="12.33203125" style="1" bestFit="1" customWidth="1"/>
    <col min="29" max="29" width="13.6640625" style="1" bestFit="1" customWidth="1"/>
    <col min="30" max="30" width="14" style="1" bestFit="1" customWidth="1"/>
    <col min="31" max="31" width="12.44140625" style="1" bestFit="1" customWidth="1"/>
    <col min="32" max="32" width="13.33203125" style="1" bestFit="1" customWidth="1"/>
    <col min="33" max="33" width="16.5546875" style="1" hidden="1" customWidth="1"/>
    <col min="34" max="34" width="11.6640625" style="1" hidden="1" customWidth="1"/>
    <col min="35" max="35" width="14" style="1" hidden="1" customWidth="1"/>
    <col min="36" max="36" width="10.5546875" style="1" hidden="1" customWidth="1"/>
    <col min="37" max="37" width="13.5546875" style="1" bestFit="1" customWidth="1"/>
    <col min="38" max="38" width="12" style="1" bestFit="1" customWidth="1"/>
    <col min="39" max="39" width="11.5546875" style="1" bestFit="1" customWidth="1"/>
    <col min="40" max="40" width="12.33203125" style="1" bestFit="1" customWidth="1"/>
    <col min="41" max="41" width="12.109375" style="1" bestFit="1" customWidth="1"/>
    <col min="42" max="16384" width="9.109375" style="1"/>
  </cols>
  <sheetData>
    <row r="1" spans="1:41" ht="15" thickBot="1" x14ac:dyDescent="0.35">
      <c r="A1" s="4" t="s">
        <v>1</v>
      </c>
      <c r="C1" s="5"/>
      <c r="F1" s="6" t="s">
        <v>4</v>
      </c>
      <c r="H1" s="6" t="s">
        <v>18</v>
      </c>
    </row>
    <row r="2" spans="1:41" ht="15" thickBot="1" x14ac:dyDescent="0.35">
      <c r="A2" s="2" t="s">
        <v>2</v>
      </c>
      <c r="C2" s="5"/>
      <c r="F2" s="7" t="s">
        <v>473</v>
      </c>
      <c r="H2" s="102">
        <v>1.1036999999999999</v>
      </c>
    </row>
    <row r="3" spans="1:41" x14ac:dyDescent="0.3">
      <c r="E3" s="62"/>
    </row>
    <row r="4" spans="1:41" x14ac:dyDescent="0.3">
      <c r="A4" s="134" t="s">
        <v>356</v>
      </c>
    </row>
    <row r="5" spans="1:41" x14ac:dyDescent="0.3">
      <c r="E5" s="63" t="s">
        <v>3</v>
      </c>
      <c r="F5" s="63"/>
      <c r="G5" s="63" t="s">
        <v>92</v>
      </c>
      <c r="H5" s="63"/>
      <c r="I5" s="63" t="s">
        <v>93</v>
      </c>
      <c r="J5" s="63"/>
      <c r="K5" s="63" t="s">
        <v>0</v>
      </c>
      <c r="L5" s="63"/>
      <c r="M5" s="63" t="s">
        <v>376</v>
      </c>
      <c r="AB5" s="63" t="s">
        <v>3</v>
      </c>
      <c r="AC5" s="63"/>
      <c r="AD5" s="63" t="s">
        <v>92</v>
      </c>
      <c r="AE5" s="63"/>
      <c r="AF5" s="63" t="s">
        <v>93</v>
      </c>
      <c r="AG5" s="63"/>
      <c r="AH5" s="63" t="s">
        <v>0</v>
      </c>
      <c r="AI5" s="63"/>
      <c r="AJ5" s="63" t="s">
        <v>376</v>
      </c>
    </row>
    <row r="6" spans="1:41" x14ac:dyDescent="0.3">
      <c r="A6" s="68"/>
      <c r="B6" s="68"/>
      <c r="C6" s="68"/>
      <c r="D6" s="68"/>
      <c r="E6" s="69">
        <f>SUBTOTAL(109,Promotores9[R$ Avi])</f>
        <v>0</v>
      </c>
      <c r="F6" s="69"/>
      <c r="G6" s="69">
        <f>SUBTOTAL(109,Promotores9[R$ Capp])</f>
        <v>0</v>
      </c>
      <c r="H6" s="69"/>
      <c r="I6" s="69">
        <f>SUBTOTAL(109,Promotores9[R$ Fam])</f>
        <v>0</v>
      </c>
      <c r="J6" s="69"/>
      <c r="K6" s="69">
        <f>SUBTOTAL(109,Promotores9[R$ S&amp;V])</f>
        <v>0</v>
      </c>
      <c r="L6" s="69"/>
      <c r="M6" s="69">
        <f>SUBTOTAL(109,Promotores9[R$ Treb])</f>
        <v>0</v>
      </c>
      <c r="N6" s="69">
        <f>SUBTOTAL(109,Promotores9[Master])</f>
        <v>150</v>
      </c>
      <c r="O6" s="69">
        <f>SUBTOTAL(109,Promotores9[APP])</f>
        <v>0</v>
      </c>
      <c r="P6" s="69"/>
      <c r="Q6" s="69">
        <f>SUBTOTAL(109,Promotores9[R$ Dev])</f>
        <v>0</v>
      </c>
      <c r="R6" s="100">
        <f>SUBTOTAL(109,Promotores9[Total])</f>
        <v>600</v>
      </c>
      <c r="AB6" s="69">
        <f>SUBTOTAL(109,Coordenadores10[R$ Avi])</f>
        <v>0</v>
      </c>
      <c r="AD6" s="69">
        <f>SUBTOTAL(109,Coordenadores10[R$ Capp])</f>
        <v>0</v>
      </c>
      <c r="AF6" s="69">
        <f>SUBTOTAL(109,Coordenadores10[R$ Fam])</f>
        <v>0</v>
      </c>
      <c r="AH6" s="69">
        <f>SUBTOTAL(109,Coordenadores10[R$ S&amp;V])</f>
        <v>0</v>
      </c>
      <c r="AI6" s="69"/>
      <c r="AJ6" s="69"/>
      <c r="AK6" s="69">
        <f>SUBTOTAL(109,Coordenadores10[Master])</f>
        <v>200</v>
      </c>
      <c r="AL6" s="69">
        <f>SUBTOTAL(109,Coordenadores10[Gestor])</f>
        <v>1200</v>
      </c>
      <c r="AM6" s="69"/>
      <c r="AN6" s="69">
        <f>SUBTOTAL(109,Promotores9[R$ Dev])</f>
        <v>0</v>
      </c>
      <c r="AO6" s="69" t="e">
        <f>SUBTOTAL(109,Coordenadores10[Total])</f>
        <v>#REF!</v>
      </c>
    </row>
    <row r="7" spans="1:41" ht="15.6" x14ac:dyDescent="0.3">
      <c r="A7" s="8" t="s">
        <v>5</v>
      </c>
      <c r="B7" s="8" t="s">
        <v>94</v>
      </c>
      <c r="C7" s="8" t="s">
        <v>58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344</v>
      </c>
      <c r="M7" s="8" t="s">
        <v>345</v>
      </c>
      <c r="N7" s="8" t="s">
        <v>14</v>
      </c>
      <c r="O7" s="8" t="s">
        <v>436</v>
      </c>
      <c r="P7" s="8" t="s">
        <v>15</v>
      </c>
      <c r="Q7" s="8" t="s">
        <v>16</v>
      </c>
      <c r="R7" s="8" t="s">
        <v>17</v>
      </c>
      <c r="S7" s="8" t="s">
        <v>427</v>
      </c>
      <c r="T7" s="8" t="s">
        <v>437</v>
      </c>
      <c r="U7" s="8" t="s">
        <v>438</v>
      </c>
      <c r="X7" s="71" t="s">
        <v>25</v>
      </c>
      <c r="Y7" s="71" t="s">
        <v>94</v>
      </c>
      <c r="Z7" s="71" t="s">
        <v>58</v>
      </c>
      <c r="AA7" s="71" t="s">
        <v>6</v>
      </c>
      <c r="AB7" s="71" t="s">
        <v>7</v>
      </c>
      <c r="AC7" s="71" t="s">
        <v>8</v>
      </c>
      <c r="AD7" s="71" t="s">
        <v>9</v>
      </c>
      <c r="AE7" s="71" t="s">
        <v>10</v>
      </c>
      <c r="AF7" s="71" t="s">
        <v>11</v>
      </c>
      <c r="AG7" s="71" t="s">
        <v>12</v>
      </c>
      <c r="AH7" s="71" t="s">
        <v>13</v>
      </c>
      <c r="AI7" s="71" t="s">
        <v>344</v>
      </c>
      <c r="AJ7" s="71" t="s">
        <v>345</v>
      </c>
      <c r="AK7" s="71" t="s">
        <v>14</v>
      </c>
      <c r="AL7" s="71" t="s">
        <v>19</v>
      </c>
      <c r="AM7" s="71" t="s">
        <v>15</v>
      </c>
      <c r="AN7" s="71" t="s">
        <v>16</v>
      </c>
      <c r="AO7" s="71" t="s">
        <v>17</v>
      </c>
    </row>
    <row r="8" spans="1:41" x14ac:dyDescent="0.3">
      <c r="A8" s="1" t="s">
        <v>355</v>
      </c>
      <c r="B8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8" s="1" t="str">
        <f>IF(Promotores9[[#This Row],[Sell Out]]&gt;=300000,"A+",IF(Promotores9[[#This Row],[Sell Out]]&gt;=260000,"A",IF(Promotores9[[#This Row],[Sell Out]]&gt;=200000,"B","C")))</f>
        <v>C</v>
      </c>
      <c r="D8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8" s="70">
        <f>IFERROR(IF(OR(VLOOKUP(A8,Rotas[[PROMOTOR]:[REGIONAL]],2,0)="Pará Sul",VLOOKUP(A8,Rotas[[PROMOTOR]:[REGIONAL]],2,0)="Pará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8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8" s="70">
        <f>IFERROR(IF(OR(VLOOKUP(A8,Rotas[[PROMOTOR]:[REGIONAL]],2,0)="Pará Sul",VLOOKUP(A8,Rotas[[PROMOTOR]:[REGIONAL]],2,0)="Pará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8" s="61">
        <f>IFERROR(IFERROR(VLOOKUP(Promotores9[[#This Row],[Promotor]],#REF!,2,0),0)/IFERROR(VLOOKUP(Promotores9[[#This Row],[Promotor]],#REF!,4,0),0),0)</f>
        <v>0</v>
      </c>
      <c r="I8" s="70">
        <f>IFERROR(IF(OR(VLOOKUP(A8,Rotas[[PROMOTOR]:[REGIONAL]],2,0)="Pará Sul",VLOOKUP(A8,Rotas[[PROMOTOR]:[REGIONAL]],2,0)="Pará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8" s="61">
        <f>IFERROR(IFERROR(VLOOKUP(Promotores9[[#This Row],[Promotor]],#REF!,2,0),0)/IFERROR(VLOOKUP(Promotores9[[#This Row],[Promotor]],#REF!,4,0),0),0)</f>
        <v>0</v>
      </c>
      <c r="K8" s="70">
        <f>0</f>
        <v>0</v>
      </c>
      <c r="L8" s="61">
        <f>IFERROR(IFERROR(VLOOKUP(Promotores9[[#This Row],[Promotor]],#REF!,2,0),0)/IFERROR(VLOOKUP(Promotores9[[#This Row],[Promotor]],#REF!,4,0),0),0)</f>
        <v>0</v>
      </c>
      <c r="M8" s="70"/>
      <c r="N8" s="70">
        <f>IF(Promotores9[[#This Row],[Sell Out]]=0,0,IF($H$2&gt;=115%,225,IF($H$2&gt;=100%,150,IF($H$2&gt;=90%,75,0))))</f>
        <v>0</v>
      </c>
      <c r="O8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8" s="75">
        <f>IFERROR(IFERROR(VLOOKUP(Promotores9[[#This Row],[Promotor]],#REF!,6,0),0)/IFERROR(VLOOKUP(Promotores9[[#This Row],[Promotor]],#REF!,2,0),0),0)</f>
        <v>0</v>
      </c>
      <c r="Q8" s="70">
        <f>IF(AND(P8&lt;=1.5%,Promotores9[[#This Row],[Sell Out]]&gt;0,Promotores9[[#This Row],[% Avi]]&lt;&gt;0),225,0)</f>
        <v>0</v>
      </c>
      <c r="R8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8" s="70" t="s">
        <v>119</v>
      </c>
      <c r="T8" s="125">
        <f>IFERROR(VLOOKUP(Promotores9[[#This Row],[Promotor]],Base_APP[[Meta]:[% Estoque]],8,0),0)</f>
        <v>0</v>
      </c>
      <c r="U8" s="125">
        <f>IFERROR(VLOOKUP(Promotores9[[#This Row],[Promotor]],Base_APP[[Meta]:[% Estoque]],5,0),0)</f>
        <v>0</v>
      </c>
      <c r="X8" s="1" t="s">
        <v>308</v>
      </c>
      <c r="Y8" s="70">
        <f>IFERROR(VLOOKUP(Coordenadores10[[#This Row],[Coordenador]],#REF!,2,0),0)+IFERROR(VLOOKUP(Coordenadores10[[#This Row],[Coordenador]],#REF!,2,0),0)+IFERROR(VLOOKUP(Coordenadores10[[#This Row],[Coordenador]],#REF!,2,0),0)</f>
        <v>0</v>
      </c>
      <c r="Z8" s="1" t="str">
        <f>IF(Coordenadores10[[#This Row],[Sell Out]]&gt;=1750000,"A+",IF(Coordenadores10[[#This Row],[Sell Out]]&gt;=1000000,"A","B"))</f>
        <v>B</v>
      </c>
      <c r="AA8" s="61">
        <f>IFERROR(VLOOKUP(Coordenadores10[[#This Row],[Coordenador]],#REF!,2,0)/VLOOKUP(Coordenadores10[[#This Row],[Coordenador]],#REF!,4,0),0)</f>
        <v>0</v>
      </c>
      <c r="AB8" s="70">
        <f>IFERROR(IF(Coordenadores10[[#This Row],[Coordenador]]="Raianne",IF($C$2=$AB$5,(IF(Coordenadores10[[#This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Premiação'!$Z$4:$AC$6,2,0),0)))),IF($C$1=$AB$5,(IF(Coordenadores10[[#This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Premiação'!$Z$4:$AC$6,2,0),0))))),0)</f>
        <v>0</v>
      </c>
      <c r="AC8" s="61">
        <f>IFERROR(VLOOKUP(Coordenadores10[[#This Row],[Coordenador]],#REF!,2,0)/VLOOKUP(Coordenadores10[[#This Row],[Coordenador]],#REF!,4,0),0)</f>
        <v>0</v>
      </c>
      <c r="AD8" s="70">
        <f>IFERROR(IF(Coordenadores10[[#This Row],[Coordenador]]="Raianne",IF($C$2=$AD$5,(IF(Coordenadores10[[#This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Premiação'!$Z$4:$AC$6,2,0),0)))),IF($C$1=$AD$5,(IF(Coordenadores10[[#This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Premiação'!$Z$4:$AC$6,2,0),0))))),0)</f>
        <v>0</v>
      </c>
      <c r="AE8" s="61">
        <f>IFERROR(VLOOKUP(Coordenadores10[[#This Row],[Coordenador]],#REF!,2,0)/VLOOKUP(Coordenadores10[[#This Row],[Coordenador]],#REF!,4,0),0)</f>
        <v>0</v>
      </c>
      <c r="AF8" s="70">
        <f>IFERROR(IF(Coordenadores10[[#This Row],[Coordenador]]="Raianne",IF($C$2=$AD$5,(IF(Coordenadores10[[#This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Premiação'!$Z$4:$AC$6,2,0),0)))),IF($C$1=$AD$5,(IF(Coordenadores10[[#This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Premiação'!$Z$4:$AC$6,2,0),0))))),0)</f>
        <v>0</v>
      </c>
      <c r="AG8" s="61">
        <f>IFERROR(VLOOKUP(Coordenadores10[[#This Row],[Coordenador]],#REF!,2,0)/VLOOKUP(Coordenadores10[[#This Row],[Coordenador]],#REF!,4,0),0)</f>
        <v>0</v>
      </c>
      <c r="AH8" s="70"/>
      <c r="AI8" s="61">
        <f>AI9</f>
        <v>0</v>
      </c>
      <c r="AJ8" s="70">
        <f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f>
        <v>0</v>
      </c>
      <c r="AK8" s="70">
        <f>IF(Coordenadores10[[#This Row],[Sell Out]]=0,0,IF($H$2&gt;=115%,300,IF($H$2&gt;=100%,200,IF($H$2&gt;=90%,100,0))))</f>
        <v>0</v>
      </c>
      <c r="AL8" s="70">
        <v>300</v>
      </c>
      <c r="AM8" s="61">
        <f>IFERROR(IFERROR(VLOOKUP(Coordenadores10[[#This Row],[Coordenador]],#REF!,6,0),0)/IFERROR(VLOOKUP(Coordenadores10[[#This Row],[Coordenador]],#REF!,5,0),0),0)</f>
        <v>0</v>
      </c>
      <c r="AN8" s="70">
        <f>IF(AND(Coordenadores10[[#This Row],[% Dev]]&lt;=1.5%,Coordenadores10[[#This Row],[% Dev]]&lt;&gt;0),300,0)</f>
        <v>0</v>
      </c>
      <c r="AO8" s="70">
        <f>SUM(Coordenadores10[[#This Row],[R$ Avi]],Coordenadores10[[#This Row],[R$ Capp]],Coordenadores10[[#This Row],[R$ Fam]],Coordenadores10[[#This Row],[R$ S&amp;V]],Coordenadores10[[#This Row],[Master]],Coordenadores10[[#This Row],[Gestor]],Coordenadores10[[#This Row],[R$ Dev]],Coordenadores10[[#This Row],[R$ Treb]])</f>
        <v>300</v>
      </c>
    </row>
    <row r="9" spans="1:41" x14ac:dyDescent="0.3">
      <c r="A9" s="1" t="s">
        <v>60</v>
      </c>
      <c r="B9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Row],[Promotor]])),0)+97000</f>
        <v>97000</v>
      </c>
      <c r="C9" s="1" t="str">
        <f>IF(Promotores9[[#This Row],[Sell Out]]&gt;=300000,"A+",IF(Promotores9[[#This Row],[Sell Out]]&gt;=260000,"A",IF(Promotores9[[#This Row],[Sell Out]]&gt;=200000,"B","C")))</f>
        <v>C</v>
      </c>
      <c r="D9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9" s="70">
        <f>IFERROR(IF(OR(VLOOKUP(A9,Rotas[[PROMOTOR]:[REGIONAL]],2,0)="Pará Sul",VLOOKUP(A9,Rotas[[PROMOTOR]:[REGIONAL]],2,0)="Pará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9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9" s="70">
        <f>IFERROR(IF(OR(VLOOKUP(A9,Rotas[[PROMOTOR]:[REGIONAL]],2,0)="Pará Sul",VLOOKUP(A9,Rotas[[PROMOTOR]:[REGIONAL]],2,0)="Pará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9" s="61">
        <f>IFERROR(IFERROR(VLOOKUP(Promotores9[[#This Row],[Promotor]],#REF!,2,0),0)/IFERROR(VLOOKUP(Promotores9[[#This Row],[Promotor]],#REF!,4,0),0),0)</f>
        <v>0</v>
      </c>
      <c r="I9" s="70">
        <f>IFERROR(IF(OR(VLOOKUP(A9,Rotas[[PROMOTOR]:[REGIONAL]],2,0)="Pará Sul",VLOOKUP(A9,Rotas[[PROMOTOR]:[REGIONAL]],2,0)="Pará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9" s="61">
        <f>IFERROR(IFERROR(VLOOKUP(Promotores9[[#This Row],[Promotor]],#REF!,2,0),0)/IFERROR(VLOOKUP(Promotores9[[#This Row],[Promotor]],#REF!,4,0),0),0)</f>
        <v>0</v>
      </c>
      <c r="K9" s="70">
        <f>0</f>
        <v>0</v>
      </c>
      <c r="L9" s="61">
        <f>IFERROR(IFERROR(VLOOKUP(Promotores9[[#This Row],[Promotor]],#REF!,2,0),0)/IFERROR(VLOOKUP(Promotores9[[#This Row],[Promotor]],#REF!,4,0),0),0)</f>
        <v>0</v>
      </c>
      <c r="M9" s="70"/>
      <c r="N9" s="70">
        <f>IF(Promotores9[[#This Row],[Sell Out]]=0,0,IF($H$2&gt;=115%,225,IF($H$2&gt;=100%,150,IF($H$2&gt;=90%,75,0))))</f>
        <v>150</v>
      </c>
      <c r="O9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9" s="75">
        <f>IFERROR(IFERROR(VLOOKUP(Promotores9[[#This Row],[Promotor]],#REF!,6,0),0)/IFERROR(VLOOKUP(Promotores9[[#This Row],[Promotor]],#REF!,2,0),0),0)</f>
        <v>0</v>
      </c>
      <c r="Q9" s="70">
        <f>IF(AND(P9&lt;=1.5%,Promotores9[[#This Row],[Sell Out]]&gt;0,Promotores9[[#This Row],[% Avi]]&lt;&gt;0),225,0)</f>
        <v>0</v>
      </c>
      <c r="R9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150</v>
      </c>
      <c r="S9" s="70" t="s">
        <v>103</v>
      </c>
      <c r="T9" s="125">
        <f>IFERROR(VLOOKUP(Promotores9[[#This Row],[Promotor]],Base_APP[[Meta]:[% Estoque]],8,0),0)</f>
        <v>0</v>
      </c>
      <c r="U9" s="125">
        <f>IFERROR(VLOOKUP(Promotores9[[#This Row],[Promotor]],Base_APP[[Meta]:[% Estoque]],5,0),0)</f>
        <v>0</v>
      </c>
      <c r="X9" s="1" t="s">
        <v>309</v>
      </c>
      <c r="Y9" s="70">
        <f>IFERROR(VLOOKUP(Coordenadores10[[#This Row],[Coordenador]],#REF!,2,0),0)+IFERROR(VLOOKUP(Coordenadores10[[#This Row],[Coordenador]],#REF!,2,0),0)+IFERROR(VLOOKUP(Coordenadores10[[#This Row],[Coordenador]],#REF!,2,0),0)</f>
        <v>0</v>
      </c>
      <c r="Z9" s="1" t="str">
        <f>IF(Coordenadores10[[#This Row],[Sell Out]]&gt;=1750000,"A+",IF(Coordenadores10[[#This Row],[Sell Out]]&gt;=1000000,"A","B"))</f>
        <v>B</v>
      </c>
      <c r="AA9" s="61">
        <f>IFERROR(VLOOKUP(Coordenadores10[[#This Row],[Coordenador]],#REF!,2,0)/VLOOKUP(Coordenadores10[[#This Row],[Coordenador]],#REF!,4,0),0)</f>
        <v>0</v>
      </c>
      <c r="AB9" s="70">
        <f>IFERROR(IF(Coordenadores10[[#This Row],[Coordenador]]="Raianne",IF($C$2=$AB$5,(IF(Coordenadores10[[#This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Premiação'!$Z$4:$AC$6,2,0),0)))),IF($C$1=$AB$5,(IF(Coordenadores10[[#This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Premiação'!$Z$4:$AC$6,2,0),0))))),0)</f>
        <v>0</v>
      </c>
      <c r="AC9" s="61">
        <f>IFERROR(VLOOKUP(Coordenadores10[[#This Row],[Coordenador]],#REF!,2,0)/VLOOKUP(Coordenadores10[[#This Row],[Coordenador]],#REF!,4,0),0)</f>
        <v>0</v>
      </c>
      <c r="AD9" s="70">
        <f>IFERROR(IF(Coordenadores10[[#This Row],[Coordenador]]="Raianne",IF($C$2=$AD$5,(IF(Coordenadores10[[#This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Premiação'!$Z$4:$AC$6,2,0),0)))),IF($C$1=$AD$5,(IF(Coordenadores10[[#This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Premiação'!$Z$4:$AC$6,2,0),0))))),0)</f>
        <v>0</v>
      </c>
      <c r="AE9" s="61">
        <f>IFERROR(VLOOKUP(Coordenadores10[[#This Row],[Coordenador]],#REF!,2,0)/VLOOKUP(Coordenadores10[[#This Row],[Coordenador]],#REF!,4,0),0)</f>
        <v>0</v>
      </c>
      <c r="AF9" s="70">
        <f>IFERROR(IF(Coordenadores10[[#This Row],[Coordenador]]="Raianne",IF($C$2=$AD$5,(IF(Coordenadores10[[#This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Premiação'!$Z$4:$AC$6,2,0),0)))),IF($C$1=$AD$5,(IF(Coordenadores10[[#This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Premiação'!$Z$4:$AC$6,2,0),0))))),0)</f>
        <v>0</v>
      </c>
      <c r="AG9" s="61">
        <f>IFERROR(VLOOKUP(Coordenadores10[[#This Row],[Coordenador]],#REF!,2,0)/VLOOKUP(Coordenadores10[[#This Row],[Coordenador]],#REF!,4,0),0)</f>
        <v>0</v>
      </c>
      <c r="AH9" s="70"/>
      <c r="AI9" s="61">
        <f>IFERROR(VLOOKUP(Coordenadores10[[#This Row],[Coordenador]],#REF!,2,0)/VLOOKUP(Coordenadores10[[#This Row],[Coordenador]],#REF!,4,0),0)</f>
        <v>0</v>
      </c>
      <c r="AJ9" s="70">
        <f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f>
        <v>0</v>
      </c>
      <c r="AK9" s="70">
        <f>IF(Coordenadores10[[#This Row],[Sell Out]]=0,0,IF($H$2&gt;=115%,300,IF($H$2&gt;=100%,200,IF($H$2&gt;=90%,100,0))))</f>
        <v>0</v>
      </c>
      <c r="AL9" s="70">
        <v>300</v>
      </c>
      <c r="AM9" s="61">
        <f>IFERROR(IFERROR(VLOOKUP(Coordenadores10[[#This Row],[Coordenador]],#REF!,6,0),0)/IFERROR(VLOOKUP(Coordenadores10[[#This Row],[Coordenador]],#REF!,5,0),0),0)</f>
        <v>0</v>
      </c>
      <c r="AN9" s="70">
        <f>IF(AND(Coordenadores10[[#This Row],[% Dev]]&lt;=1.5%,Coordenadores10[[#This Row],[% Dev]]&lt;&gt;0),300,0)</f>
        <v>0</v>
      </c>
      <c r="AO9" s="70">
        <f>SUM(Coordenadores10[[#This Row],[R$ Avi]],Coordenadores10[[#This Row],[R$ Capp]],Coordenadores10[[#This Row],[R$ Fam]],Coordenadores10[[#This Row],[R$ S&amp;V]],Coordenadores10[[#This Row],[Master]],Coordenadores10[[#This Row],[Gestor]],Coordenadores10[[#This Row],[R$ Dev]],Coordenadores10[[#This Row],[R$ Treb]])</f>
        <v>300</v>
      </c>
    </row>
    <row r="10" spans="1:41" x14ac:dyDescent="0.3">
      <c r="A10" s="1" t="s">
        <v>62</v>
      </c>
      <c r="B10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0" s="1" t="str">
        <f>IF(Promotores9[[#This Row],[Sell Out]]&gt;=300000,"A+",IF(Promotores9[[#This Row],[Sell Out]]&gt;=260000,"A",IF(Promotores9[[#This Row],[Sell Out]]&gt;=200000,"B","C")))</f>
        <v>C</v>
      </c>
      <c r="D10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0" s="70">
        <f>IFERROR(IF(OR(VLOOKUP(A10,Rotas[[PROMOTOR]:[REGIONAL]],2,0)="Pará Sul",VLOOKUP(A10,Rotas[[PROMOTOR]:[REGIONAL]],2,0)="Pará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0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0" s="70">
        <f>IFERROR(IF(OR(VLOOKUP(A10,Rotas[[PROMOTOR]:[REGIONAL]],2,0)="Pará Sul",VLOOKUP(A10,Rotas[[PROMOTOR]:[REGIONAL]],2,0)="Pará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0" s="61">
        <f>IFERROR(IFERROR(VLOOKUP(Promotores9[[#This Row],[Promotor]],#REF!,2,0),0)/IFERROR(VLOOKUP(Promotores9[[#This Row],[Promotor]],#REF!,4,0),0),0)</f>
        <v>0</v>
      </c>
      <c r="I10" s="70">
        <f>IFERROR(IF(OR(VLOOKUP(A10,Rotas[[PROMOTOR]:[REGIONAL]],2,0)="Pará Sul",VLOOKUP(A10,Rotas[[PROMOTOR]:[REGIONAL]],2,0)="Pará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0" s="61">
        <f>IFERROR(IFERROR(VLOOKUP(Promotores9[[#This Row],[Promotor]],#REF!,2,0),0)/IFERROR(VLOOKUP(Promotores9[[#This Row],[Promotor]],#REF!,4,0),0),0)</f>
        <v>0</v>
      </c>
      <c r="K10" s="70">
        <f>0</f>
        <v>0</v>
      </c>
      <c r="L10" s="61">
        <f>IFERROR(IFERROR(VLOOKUP(Promotores9[[#This Row],[Promotor]],#REF!,2,0),0)/IFERROR(VLOOKUP(Promotores9[[#This Row],[Promotor]],#REF!,4,0),0),0)</f>
        <v>0</v>
      </c>
      <c r="M10" s="70"/>
      <c r="N10" s="70">
        <f>IF(Promotores9[[#This Row],[Sell Out]]=0,0,IF($H$2&gt;=115%,225,IF($H$2&gt;=100%,150,IF($H$2&gt;=90%,75,0))))</f>
        <v>0</v>
      </c>
      <c r="O10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0" s="75">
        <f>IFERROR(IFERROR(VLOOKUP(Promotores9[[#This Row],[Promotor]],#REF!,6,0),0)/IFERROR(VLOOKUP(Promotores9[[#This Row],[Promotor]],#REF!,2,0),0),0)</f>
        <v>0</v>
      </c>
      <c r="Q10" s="70">
        <f>IF(AND(P10&lt;=1.5%,Promotores9[[#This Row],[Sell Out]]&gt;0,Promotores9[[#This Row],[% Avi]]&lt;&gt;0),225,0)</f>
        <v>0</v>
      </c>
      <c r="R10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0" s="70" t="s">
        <v>103</v>
      </c>
      <c r="T10" s="125">
        <f>IFERROR(VLOOKUP(Promotores9[[#This Row],[Promotor]],Base_APP[[Meta]:[% Estoque]],8,0),0)</f>
        <v>0</v>
      </c>
      <c r="U10" s="125">
        <f>IFERROR(VLOOKUP(Promotores9[[#This Row],[Promotor]],Base_APP[[Meta]:[% Estoque]],5,0),0)</f>
        <v>0</v>
      </c>
      <c r="X10" s="1" t="s">
        <v>310</v>
      </c>
      <c r="Y10" s="70">
        <f>IFERROR(VLOOKUP(Coordenadores10[[#This Row],[Coordenador]],#REF!,2,0),0)+IFERROR(VLOOKUP(Coordenadores10[[#This Row],[Coordenador]],#REF!,2,0),0)+IFERROR(VLOOKUP(Coordenadores10[[#This Row],[Coordenador]],#REF!,2,0),0)</f>
        <v>0</v>
      </c>
      <c r="Z10" s="1" t="str">
        <f>IF(Coordenadores10[[#This Row],[Sell Out]]&gt;=1750000,"A+",IF(Coordenadores10[[#This Row],[Sell Out]]&gt;=1000000,"A","B"))</f>
        <v>B</v>
      </c>
      <c r="AA10" s="61">
        <f>IFERROR(VLOOKUP(Coordenadores10[[#This Row],[Coordenador]],#REF!,2,0)/VLOOKUP(Coordenadores10[[#This Row],[Coordenador]],#REF!,4,0),0)</f>
        <v>0</v>
      </c>
      <c r="AB10" s="70">
        <f>IFERROR(IF(Coordenadores10[[#This Row],[Coordenador]]="Raianne",IF($C$2=$AB$5,(IF(Coordenadores10[[#This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Premiação'!$Z$4:$AC$6,2,0),0)))),IF($C$1=$AB$5,(IF(Coordenadores10[[#This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Premiação'!$Z$4:$AC$6,2,0),0))))),0)</f>
        <v>0</v>
      </c>
      <c r="AC10" s="61">
        <f>IFERROR(VLOOKUP(Coordenadores10[[#This Row],[Coordenador]],#REF!,2,0)/VLOOKUP(Coordenadores10[[#This Row],[Coordenador]],#REF!,4,0),0)</f>
        <v>0</v>
      </c>
      <c r="AD10" s="70">
        <f>IFERROR(IF(Coordenadores10[[#This Row],[Coordenador]]="Raianne",IF($C$2=$AD$5,(IF(Coordenadores10[[#This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Premiação'!$Z$4:$AC$6,2,0),0)))),IF($C$1=$AD$5,(IF(Coordenadores10[[#This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Premiação'!$Z$4:$AC$6,2,0),0))))),0)</f>
        <v>0</v>
      </c>
      <c r="AE10" s="61">
        <f>IFERROR(VLOOKUP(Coordenadores10[[#This Row],[Coordenador]],#REF!,2,0)/VLOOKUP(Coordenadores10[[#This Row],[Coordenador]],#REF!,4,0),0)</f>
        <v>0</v>
      </c>
      <c r="AF10" s="70">
        <f>IFERROR(IF(Coordenadores10[[#This Row],[Coordenador]]="Raianne",IF($C$2=$AD$5,(IF(Coordenadores10[[#This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Premiação'!$Z$4:$AC$6,2,0),0)))),IF($C$1=$AD$5,(IF(Coordenadores10[[#This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Premiação'!$Z$4:$AC$6,2,0),0))))),0)</f>
        <v>0</v>
      </c>
      <c r="AG10" s="61">
        <f>IFERROR(VLOOKUP(Coordenadores10[[#This Row],[Coordenador]],#REF!,2,0)/VLOOKUP(Coordenadores10[[#This Row],[Coordenador]],#REF!,4,0),0)</f>
        <v>0</v>
      </c>
      <c r="AH10" s="70"/>
      <c r="AI10" s="61">
        <f>IFERROR(VLOOKUP(Coordenadores10[[#This Row],[Coordenador]],#REF!,2,0)/VLOOKUP(Coordenadores10[[#This Row],[Coordenador]],#REF!,4,0),0)</f>
        <v>0</v>
      </c>
      <c r="AJ10" s="70">
        <f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f>
        <v>0</v>
      </c>
      <c r="AK10" s="70">
        <f>IF(Coordenadores10[[#This Row],[Sell Out]]=0,0,IF($H$2&gt;=115%,300,IF($H$2&gt;=100%,200,IF($H$2&gt;=90%,100,0))))</f>
        <v>0</v>
      </c>
      <c r="AL10" s="70">
        <v>300</v>
      </c>
      <c r="AM10" s="61">
        <f>IFERROR(IFERROR(VLOOKUP(Coordenadores10[[#This Row],[Coordenador]],#REF!,6,0),0)/IFERROR(VLOOKUP(Coordenadores10[[#This Row],[Coordenador]],#REF!,5,0),0),0)</f>
        <v>0</v>
      </c>
      <c r="AN10" s="70">
        <f>IF(AND(Coordenadores10[[#This Row],[% Dev]]&lt;=1.5%,Coordenadores10[[#This Row],[% Dev]]&lt;&gt;0),300,0)</f>
        <v>0</v>
      </c>
      <c r="AO10" s="70">
        <f>SUM(Coordenadores10[[#This Row],[R$ Avi]],Coordenadores10[[#This Row],[R$ Capp]],Coordenadores10[[#This Row],[R$ Fam]],Coordenadores10[[#This Row],[R$ S&amp;V]],Coordenadores10[[#This Row],[Master]],Coordenadores10[[#This Row],[Gestor]],Coordenadores10[[#This Row],[R$ Dev]],Coordenadores10[[#This Row],[R$ Treb]])</f>
        <v>300</v>
      </c>
    </row>
    <row r="11" spans="1:41" x14ac:dyDescent="0.3">
      <c r="A11" s="1" t="s">
        <v>64</v>
      </c>
      <c r="B11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1" s="1" t="str">
        <f>IF(Promotores9[[#This Row],[Sell Out]]&gt;=300000,"A+",IF(Promotores9[[#This Row],[Sell Out]]&gt;=260000,"A",IF(Promotores9[[#This Row],[Sell Out]]&gt;=200000,"B","C")))</f>
        <v>C</v>
      </c>
      <c r="D11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1" s="70">
        <f>IFERROR(IF(OR(VLOOKUP(A11,Rotas[[PROMOTOR]:[REGIONAL]],2,0)="Pará Sul",VLOOKUP(A11,Rotas[[PROMOTOR]:[REGIONAL]],2,0)="Pará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1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1" s="70">
        <f>IFERROR(IF(OR(VLOOKUP(A11,Rotas[[PROMOTOR]:[REGIONAL]],2,0)="Pará Sul",VLOOKUP(A11,Rotas[[PROMOTOR]:[REGIONAL]],2,0)="Pará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1" s="61">
        <f>IFERROR(IFERROR(VLOOKUP(Promotores9[[#This Row],[Promotor]],#REF!,2,0),0)/IFERROR(VLOOKUP(Promotores9[[#This Row],[Promotor]],#REF!,4,0),0),0)</f>
        <v>0</v>
      </c>
      <c r="I11" s="70">
        <f>IFERROR(IF(OR(VLOOKUP(A11,Rotas[[PROMOTOR]:[REGIONAL]],2,0)="Pará Sul",VLOOKUP(A11,Rotas[[PROMOTOR]:[REGIONAL]],2,0)="Pará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1" s="61">
        <f>IFERROR(IFERROR(VLOOKUP(Promotores9[[#This Row],[Promotor]],#REF!,2,0),0)/IFERROR(VLOOKUP(Promotores9[[#This Row],[Promotor]],#REF!,4,0),0),0)</f>
        <v>0</v>
      </c>
      <c r="K11" s="70">
        <f>0</f>
        <v>0</v>
      </c>
      <c r="L11" s="61">
        <f>IFERROR(IFERROR(VLOOKUP(Promotores9[[#This Row],[Promotor]],#REF!,2,0),0)/IFERROR(VLOOKUP(Promotores9[[#This Row],[Promotor]],#REF!,4,0),0),0)</f>
        <v>0</v>
      </c>
      <c r="M11" s="70"/>
      <c r="N11" s="70">
        <f>IF(Promotores9[[#This Row],[Sell Out]]=0,0,IF($H$2&gt;=115%,225,IF($H$2&gt;=100%,150,IF($H$2&gt;=90%,75,0))))</f>
        <v>0</v>
      </c>
      <c r="O11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1" s="75">
        <f>IFERROR(IFERROR(VLOOKUP(Promotores9[[#This Row],[Promotor]],#REF!,6,0),0)/IFERROR(VLOOKUP(Promotores9[[#This Row],[Promotor]],#REF!,2,0),0),0)</f>
        <v>0</v>
      </c>
      <c r="Q11" s="70">
        <f>IF(AND(P11&lt;=1.5%,Promotores9[[#This Row],[Sell Out]]&gt;0,Promotores9[[#This Row],[% Avi]]&lt;&gt;0),225,0)</f>
        <v>0</v>
      </c>
      <c r="R11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1" s="70" t="s">
        <v>116</v>
      </c>
      <c r="T11" s="125">
        <f>IFERROR(VLOOKUP(Promotores9[[#This Row],[Promotor]],Base_APP[[Meta]:[% Estoque]],8,0),0)</f>
        <v>0</v>
      </c>
      <c r="U11" s="125">
        <f>IFERROR(VLOOKUP(Promotores9[[#This Row],[Promotor]],Base_APP[[Meta]:[% Estoque]],5,0),0)</f>
        <v>0</v>
      </c>
      <c r="X11" s="1" t="s">
        <v>386</v>
      </c>
      <c r="Y11" s="70" t="s">
        <v>430</v>
      </c>
      <c r="Z11" s="1" t="s">
        <v>37</v>
      </c>
      <c r="AA11" s="61" t="e">
        <f>AA17</f>
        <v>#REF!</v>
      </c>
      <c r="AB11" s="70">
        <f>IFERROR(IF(Coordenadores10[[#This Row],[Coordenador]]="Raianne",IF($C$2=$AB$5,(IF(Coordenadores10[[#This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Premiação'!$Z$4:$AC$6,2,0),0)))),IF($C$1=$AB$5,(IF(Coordenadores10[[#This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Premiação'!$Z$4:$AC$6,2,0),0))))*2,IF(Coordenadores10[[#This Row],[% Avi]]&gt;=115%,VLOOKUP(Coordenadores10[[#This Row],[Nível]],'Regras Premiação'!$Z$4:$AC$6,4,0),IF(Coordenadores10[[#This Row],[% Avi]]&gt;=100%,VLOOKUP(Coordenadores10[[#This Row],[Nível]],'Regras Premiação'!$Z$4:$AC$6,3,0),IF(Coordenadores10[[#This Row],[% Avi]]&gt;=90%,VLOOKUP(Coordenadores10[[#This Row],[Nível]],'Regras Premiação'!$Z$4:$AC$6,2,0),0))))),0)</f>
        <v>0</v>
      </c>
      <c r="AC11" s="61" t="e">
        <f>AC17</f>
        <v>#REF!</v>
      </c>
      <c r="AD11" s="70">
        <f>IFERROR(IF(Coordenadores10[[#This Row],[Coordenador]]="Raianne",IF($C$2=$AD$5,(IF(Coordenadores10[[#This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Premiação'!$Z$4:$AC$6,2,0),0)))),IF($C$1=$AD$5,(IF(Coordenadores10[[#This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Premiação'!$Z$4:$AC$6,2,0),0))))*2,IF(Coordenadores10[[#This Row],[% Capp]]&gt;=115%,VLOOKUP(Coordenadores10[[#This Row],[Nível]],'Regras Premiação'!$Z$4:$AC$6,4,0),IF(Coordenadores10[[#This Row],[% Capp]]&gt;=100%,VLOOKUP(Coordenadores10[[#This Row],[Nível]],'Regras Premiação'!$Z$4:$AC$6,3,0),IF(Coordenadores10[[#This Row],[% Capp]]&gt;=90%,VLOOKUP(Coordenadores10[[#This Row],[Nível]],'Regras Premiação'!$Z$4:$AC$6,2,0),0))))),0)</f>
        <v>0</v>
      </c>
      <c r="AE11" s="61">
        <f>AE17</f>
        <v>0</v>
      </c>
      <c r="AF11" s="70">
        <f>IFERROR(IF(Coordenadores10[[#This Row],[Coordenador]]="Raianne",IF($C$2=$AD$5,(IF(Coordenadores10[[#This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Premiação'!$Z$4:$AC$6,2,0),0)))),IF($C$1=$AD$5,(IF(Coordenadores10[[#This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Premiação'!$Z$4:$AC$6,2,0),0))))*2,IF(Coordenadores10[[#This Row],[% Fam]]&gt;=115%,VLOOKUP(Coordenadores10[[#This Row],[Nível]],'Regras Premiação'!$Z$4:$AC$6,4,0),IF(Coordenadores10[[#This Row],[% Fam]]&gt;=100%,VLOOKUP(Coordenadores10[[#This Row],[Nível]],'Regras Premiação'!$Z$4:$AC$6,3,0),IF(Coordenadores10[[#This Row],[% Fam]]&gt;=90%,VLOOKUP(Coordenadores10[[#This Row],[Nível]],'Regras Premiação'!$Z$4:$AC$6,2,0),0))))),0)</f>
        <v>0</v>
      </c>
      <c r="AG11" s="61">
        <f>IFERROR(VLOOKUP(Coordenadores10[[#This Row],[Coordenador]],#REF!,2,0)/VLOOKUP(Coordenadores10[[#This Row],[Coordenador]],#REF!,4,0),0)</f>
        <v>0</v>
      </c>
      <c r="AH11" s="70"/>
      <c r="AI11" s="61">
        <f>IFERROR(VLOOKUP(Coordenadores10[[#This Row],[Coordenador]],#REF!,2,0)/VLOOKUP(Coordenadores10[[#This Row],[Coordenador]],#REF!,4,0),0)</f>
        <v>0</v>
      </c>
      <c r="AJ11" s="70">
        <f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f>
        <v>0</v>
      </c>
      <c r="AK11" s="70">
        <f>IF(Coordenadores10[[#This Row],[Sell Out]]=0,0,IF($H$2&gt;=115%,300,IF($H$2&gt;=100%,200,IF($H$2&gt;=90%,100,0))))</f>
        <v>200</v>
      </c>
      <c r="AL11" s="70">
        <v>300</v>
      </c>
      <c r="AM11" s="61" t="e">
        <f>AM17</f>
        <v>#REF!</v>
      </c>
      <c r="AN11" s="70" t="e">
        <f>IF(AND(Coordenadores10[[#This Row],[% Dev]]&lt;=1.5%,Coordenadores10[[#This Row],[% Dev]]&lt;&gt;0),300,0)</f>
        <v>#REF!</v>
      </c>
      <c r="AO11" s="70" t="e">
        <f>SUM(Coordenadores10[[#This Row],[R$ Avi]],Coordenadores10[[#This Row],[R$ Capp]],Coordenadores10[[#This Row],[R$ Fam]],Coordenadores10[[#This Row],[R$ S&amp;V]],Coordenadores10[[#This Row],[Master]],Coordenadores10[[#This Row],[Gestor]],Coordenadores10[[#This Row],[R$ Dev]],Coordenadores10[[#This Row],[R$ Treb]])</f>
        <v>#REF!</v>
      </c>
    </row>
    <row r="12" spans="1:41" x14ac:dyDescent="0.3">
      <c r="A12" s="1" t="s">
        <v>65</v>
      </c>
      <c r="B12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2" s="1" t="str">
        <f>IF(Promotores9[[#This Row],[Sell Out]]&gt;=300000,"A+",IF(Promotores9[[#This Row],[Sell Out]]&gt;=260000,"A",IF(Promotores9[[#This Row],[Sell Out]]&gt;=200000,"B","C")))</f>
        <v>C</v>
      </c>
      <c r="D12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2" s="70">
        <f>IFERROR(IF(OR(VLOOKUP(A12,Rotas[[PROMOTOR]:[REGIONAL]],2,0)="Pará Sul",VLOOKUP(A12,Rotas[[PROMOTOR]:[REGIONAL]],2,0)="Pará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2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2" s="70">
        <f>IFERROR(IF(OR(VLOOKUP(A12,Rotas[[PROMOTOR]:[REGIONAL]],2,0)="Pará Sul",VLOOKUP(A12,Rotas[[PROMOTOR]:[REGIONAL]],2,0)="Pará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2" s="61">
        <f>IFERROR(IFERROR(VLOOKUP(Promotores9[[#This Row],[Promotor]],#REF!,2,0),0)/IFERROR(VLOOKUP(Promotores9[[#This Row],[Promotor]],#REF!,4,0),0),0)</f>
        <v>0</v>
      </c>
      <c r="I12" s="70">
        <f>IFERROR(IF(OR(VLOOKUP(A12,Rotas[[PROMOTOR]:[REGIONAL]],2,0)="Pará Sul",VLOOKUP(A12,Rotas[[PROMOTOR]:[REGIONAL]],2,0)="Pará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2" s="61">
        <f>IFERROR(IFERROR(VLOOKUP(Promotores9[[#This Row],[Promotor]],#REF!,2,0),0)/IFERROR(VLOOKUP(Promotores9[[#This Row],[Promotor]],#REF!,4,0),0),0)</f>
        <v>0</v>
      </c>
      <c r="K12" s="70">
        <f>0</f>
        <v>0</v>
      </c>
      <c r="L12" s="61">
        <f>IFERROR(IFERROR(VLOOKUP(Promotores9[[#This Row],[Promotor]],#REF!,2,0),0)/IFERROR(VLOOKUP(Promotores9[[#This Row],[Promotor]],#REF!,4,0),0),0)</f>
        <v>0</v>
      </c>
      <c r="M12" s="70"/>
      <c r="N12" s="70">
        <f>IF(Promotores9[[#This Row],[Sell Out]]=0,0,IF($H$2&gt;=115%,225,IF($H$2&gt;=100%,150,IF($H$2&gt;=90%,75,0))))</f>
        <v>0</v>
      </c>
      <c r="O12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2" s="75">
        <f>IFERROR(IFERROR(VLOOKUP(Promotores9[[#This Row],[Promotor]],#REF!,6,0),0)/IFERROR(VLOOKUP(Promotores9[[#This Row],[Promotor]],#REF!,2,0),0),0)</f>
        <v>0</v>
      </c>
      <c r="Q12" s="70">
        <f>IF(AND(P12&lt;=1.5%,Promotores9[[#This Row],[Sell Out]]&gt;0,Promotores9[[#This Row],[% Avi]]&lt;&gt;0),225,0)</f>
        <v>0</v>
      </c>
      <c r="R12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2" s="70" t="s">
        <v>222</v>
      </c>
      <c r="T12" s="125">
        <f>IFERROR(VLOOKUP(Promotores9[[#This Row],[Promotor]],Base_APP[[Meta]:[% Estoque]],8,0),0)</f>
        <v>0</v>
      </c>
      <c r="U12" s="125">
        <f>IFERROR(VLOOKUP(Promotores9[[#This Row],[Promotor]],Base_APP[[Meta]:[% Estoque]],5,0),0)</f>
        <v>0</v>
      </c>
    </row>
    <row r="13" spans="1:41" x14ac:dyDescent="0.3">
      <c r="A13" s="1" t="s">
        <v>66</v>
      </c>
      <c r="B13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3" s="1" t="str">
        <f>IF(Promotores9[[#This Row],[Sell Out]]&gt;=300000,"A+",IF(Promotores9[[#This Row],[Sell Out]]&gt;=260000,"A",IF(Promotores9[[#This Row],[Sell Out]]&gt;=200000,"B","C")))</f>
        <v>C</v>
      </c>
      <c r="D13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3" s="70">
        <f>IFERROR(IF(OR(VLOOKUP(A13,Rotas[[PROMOTOR]:[REGIONAL]],2,0)="Pará Sul",VLOOKUP(A13,Rotas[[PROMOTOR]:[REGIONAL]],2,0)="Pará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3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3" s="70">
        <f>IFERROR(IF(OR(VLOOKUP(A13,Rotas[[PROMOTOR]:[REGIONAL]],2,0)="Pará Sul",VLOOKUP(A13,Rotas[[PROMOTOR]:[REGIONAL]],2,0)="Pará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3" s="61">
        <f>IFERROR(IFERROR(VLOOKUP(Promotores9[[#This Row],[Promotor]],#REF!,2,0),0)/IFERROR(VLOOKUP(Promotores9[[#This Row],[Promotor]],#REF!,4,0),0),0)</f>
        <v>0</v>
      </c>
      <c r="I13" s="70">
        <f>IFERROR(IF(OR(VLOOKUP(A13,Rotas[[PROMOTOR]:[REGIONAL]],2,0)="Pará Sul",VLOOKUP(A13,Rotas[[PROMOTOR]:[REGIONAL]],2,0)="Pará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3" s="61">
        <f>IFERROR(IFERROR(VLOOKUP(Promotores9[[#This Row],[Promotor]],#REF!,2,0),0)/IFERROR(VLOOKUP(Promotores9[[#This Row],[Promotor]],#REF!,4,0),0),0)</f>
        <v>0</v>
      </c>
      <c r="K13" s="70">
        <f>0</f>
        <v>0</v>
      </c>
      <c r="L13" s="61">
        <f>IFERROR(IFERROR(VLOOKUP(Promotores9[[#This Row],[Promotor]],#REF!,2,0),0)/IFERROR(VLOOKUP(Promotores9[[#This Row],[Promotor]],#REF!,4,0),0),0)</f>
        <v>0</v>
      </c>
      <c r="M13" s="70"/>
      <c r="N13" s="70">
        <f>IF(Promotores9[[#This Row],[Sell Out]]=0,0,IF($H$2&gt;=115%,225,IF($H$2&gt;=100%,150,IF($H$2&gt;=90%,75,0))))</f>
        <v>0</v>
      </c>
      <c r="O13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3" s="75">
        <f>IFERROR(IFERROR(VLOOKUP(Promotores9[[#This Row],[Promotor]],#REF!,6,0),0)/IFERROR(VLOOKUP(Promotores9[[#This Row],[Promotor]],#REF!,2,0),0),0)</f>
        <v>0</v>
      </c>
      <c r="Q13" s="70">
        <f>IF(AND(P13&lt;=1.5%,Promotores9[[#This Row],[Sell Out]]&gt;0,Promotores9[[#This Row],[% Avi]]&lt;&gt;0),225,0)</f>
        <v>0</v>
      </c>
      <c r="R13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3" s="70" t="s">
        <v>116</v>
      </c>
      <c r="T13" s="125">
        <f>IFERROR(VLOOKUP(Promotores9[[#This Row],[Promotor]],Base_APP[[Meta]:[% Estoque]],8,0),0)</f>
        <v>0</v>
      </c>
      <c r="U13" s="125">
        <f>IFERROR(VLOOKUP(Promotores9[[#This Row],[Promotor]],Base_APP[[Meta]:[% Estoque]],5,0),0)</f>
        <v>0</v>
      </c>
    </row>
    <row r="14" spans="1:41" x14ac:dyDescent="0.3">
      <c r="A14" s="1" t="s">
        <v>356</v>
      </c>
      <c r="B14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4" s="1" t="str">
        <f>IF(Promotores9[[#This Row],[Sell Out]]&gt;=300000,"A+",IF(Promotores9[[#This Row],[Sell Out]]&gt;=260000,"A",IF(Promotores9[[#This Row],[Sell Out]]&gt;=200000,"B","C")))</f>
        <v>C</v>
      </c>
      <c r="D14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4" s="70">
        <f>IFERROR(IF(OR(VLOOKUP(A14,Rotas[[PROMOTOR]:[REGIONAL]],2,0)="Pará Sul",VLOOKUP(A14,Rotas[[PROMOTOR]:[REGIONAL]],2,0)="Pará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4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4" s="70">
        <f>IFERROR(IF(OR(VLOOKUP(A14,Rotas[[PROMOTOR]:[REGIONAL]],2,0)="Pará Sul",VLOOKUP(A14,Rotas[[PROMOTOR]:[REGIONAL]],2,0)="Pará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4" s="61">
        <f>IFERROR(IFERROR(VLOOKUP(Promotores9[[#This Row],[Promotor]],#REF!,2,0),0)/IFERROR(VLOOKUP(Promotores9[[#This Row],[Promotor]],#REF!,4,0),0),0)</f>
        <v>0</v>
      </c>
      <c r="I14" s="70">
        <f>IFERROR(IF(OR(VLOOKUP(A14,Rotas[[PROMOTOR]:[REGIONAL]],2,0)="Pará Sul",VLOOKUP(A14,Rotas[[PROMOTOR]:[REGIONAL]],2,0)="Pará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4" s="61">
        <f>IFERROR(IFERROR(VLOOKUP(Promotores9[[#This Row],[Promotor]],#REF!,2,0),0)/IFERROR(VLOOKUP(Promotores9[[#This Row],[Promotor]],#REF!,4,0),0),0)</f>
        <v>0</v>
      </c>
      <c r="K14" s="70">
        <f>0</f>
        <v>0</v>
      </c>
      <c r="L14" s="61">
        <f>IFERROR(IFERROR(VLOOKUP(Promotores9[[#This Row],[Promotor]],#REF!,2,0),0)/IFERROR(VLOOKUP(Promotores9[[#This Row],[Promotor]],#REF!,4,0),0),0)</f>
        <v>0</v>
      </c>
      <c r="M14" s="70"/>
      <c r="N14" s="70">
        <f>IF(Promotores9[[#This Row],[Sell Out]]=0,0,IF($H$2&gt;=115%,225,IF($H$2&gt;=100%,150,IF($H$2&gt;=90%,75,0))))</f>
        <v>0</v>
      </c>
      <c r="O14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4" s="75">
        <f>IFERROR(IFERROR(VLOOKUP(Promotores9[[#This Row],[Promotor]],#REF!,6,0),0)/IFERROR(VLOOKUP(Promotores9[[#This Row],[Promotor]],#REF!,2,0),0),0)</f>
        <v>0</v>
      </c>
      <c r="Q14" s="70">
        <f>IF(AND(P14&lt;=1.5%,Promotores9[[#This Row],[Sell Out]]&gt;0,Promotores9[[#This Row],[% Avi]]&lt;&gt;0),225,0)</f>
        <v>0</v>
      </c>
      <c r="R14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4" s="70" t="s">
        <v>103</v>
      </c>
      <c r="T14" s="125">
        <f>IFERROR(VLOOKUP(Promotores9[[#This Row],[Promotor]],Base_APP[[Meta]:[% Estoque]],8,0),0)</f>
        <v>0</v>
      </c>
      <c r="U14" s="125">
        <f>IFERROR(VLOOKUP(Promotores9[[#This Row],[Promotor]],Base_APP[[Meta]:[% Estoque]],5,0),0)</f>
        <v>0</v>
      </c>
      <c r="AF14" s="63" t="s">
        <v>93</v>
      </c>
    </row>
    <row r="15" spans="1:41" ht="15.6" x14ac:dyDescent="0.3">
      <c r="A15" s="1" t="s">
        <v>418</v>
      </c>
      <c r="B15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5" s="1" t="str">
        <f>IF(Promotores9[[#This Row],[Sell Out]]&gt;=300000,"A+",IF(Promotores9[[#This Row],[Sell Out]]&gt;=260000,"A",IF(Promotores9[[#This Row],[Sell Out]]&gt;=200000,"B","C")))</f>
        <v>C</v>
      </c>
      <c r="D15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5" s="70">
        <f>IFERROR(IF(OR(VLOOKUP(A15,Rotas[[PROMOTOR]:[REGIONAL]],2,0)="Pará Sul",VLOOKUP(A15,Rotas[[PROMOTOR]:[REGIONAL]],2,0)="Pará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5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5" s="70">
        <f>IFERROR(IF(OR(VLOOKUP(A15,Rotas[[PROMOTOR]:[REGIONAL]],2,0)="Pará Sul",VLOOKUP(A15,Rotas[[PROMOTOR]:[REGIONAL]],2,0)="Pará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5" s="61">
        <f>IFERROR(IFERROR(VLOOKUP(Promotores9[[#This Row],[Promotor]],#REF!,2,0),0)/IFERROR(VLOOKUP(Promotores9[[#This Row],[Promotor]],#REF!,4,0),0),0)</f>
        <v>0</v>
      </c>
      <c r="I15" s="70">
        <f>IFERROR(IF(OR(VLOOKUP(A15,Rotas[[PROMOTOR]:[REGIONAL]],2,0)="Pará Sul",VLOOKUP(A15,Rotas[[PROMOTOR]:[REGIONAL]],2,0)="Pará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5" s="61">
        <f>IFERROR(IFERROR(VLOOKUP(Promotores9[[#This Row],[Promotor]],#REF!,2,0),0)/IFERROR(VLOOKUP(Promotores9[[#This Row],[Promotor]],#REF!,4,0),0),0)</f>
        <v>0</v>
      </c>
      <c r="K15" s="70">
        <f>0</f>
        <v>0</v>
      </c>
      <c r="L15" s="61">
        <f>IFERROR(IFERROR(VLOOKUP(Promotores9[[#This Row],[Promotor]],#REF!,2,0),0)/IFERROR(VLOOKUP(Promotores9[[#This Row],[Promotor]],#REF!,4,0),0),0)</f>
        <v>0</v>
      </c>
      <c r="M15" s="70"/>
      <c r="N15" s="70">
        <f>IF(Promotores9[[#This Row],[Sell Out]]=0,0,IF($H$2&gt;=115%,225,IF($H$2&gt;=100%,150,IF($H$2&gt;=90%,75,0))))</f>
        <v>0</v>
      </c>
      <c r="O15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5" s="75">
        <f>IFERROR(IFERROR(VLOOKUP(Promotores9[[#This Row],[Promotor]],#REF!,6,0),0)/IFERROR(VLOOKUP(Promotores9[[#This Row],[Promotor]],#REF!,2,0),0),0)</f>
        <v>0</v>
      </c>
      <c r="Q15" s="70">
        <f>IF(AND(P15&lt;=1.5%,Promotores9[[#This Row],[Sell Out]]&gt;0,Promotores9[[#This Row],[% Avi]]&lt;&gt;0),225,0)</f>
        <v>0</v>
      </c>
      <c r="R15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5" s="70" t="s">
        <v>103</v>
      </c>
      <c r="T15" s="125">
        <f>IFERROR(VLOOKUP(Promotores9[[#This Row],[Promotor]],Base_APP[[Meta]:[% Estoque]],8,0),0)</f>
        <v>0</v>
      </c>
      <c r="U15" s="125">
        <f>IFERROR(VLOOKUP(Promotores9[[#This Row],[Promotor]],Base_APP[[Meta]:[% Estoque]],5,0),0)</f>
        <v>0</v>
      </c>
      <c r="X15" s="132" t="s">
        <v>442</v>
      </c>
      <c r="Y15" s="132" t="s">
        <v>94</v>
      </c>
      <c r="Z15" s="132" t="s">
        <v>58</v>
      </c>
      <c r="AA15" s="132" t="s">
        <v>6</v>
      </c>
      <c r="AB15" s="132" t="s">
        <v>7</v>
      </c>
      <c r="AC15" s="132" t="s">
        <v>8</v>
      </c>
      <c r="AD15" s="132" t="s">
        <v>9</v>
      </c>
      <c r="AE15" s="132" t="s">
        <v>10</v>
      </c>
      <c r="AF15" s="132" t="s">
        <v>11</v>
      </c>
      <c r="AG15" s="132" t="s">
        <v>12</v>
      </c>
      <c r="AH15" s="132" t="s">
        <v>13</v>
      </c>
      <c r="AI15" s="132" t="s">
        <v>344</v>
      </c>
      <c r="AJ15" s="132" t="s">
        <v>345</v>
      </c>
      <c r="AK15" s="132" t="s">
        <v>14</v>
      </c>
      <c r="AL15" s="132" t="s">
        <v>19</v>
      </c>
      <c r="AM15" s="132" t="s">
        <v>15</v>
      </c>
      <c r="AN15" s="132" t="s">
        <v>16</v>
      </c>
      <c r="AO15" s="133" t="s">
        <v>17</v>
      </c>
    </row>
    <row r="16" spans="1:41" x14ac:dyDescent="0.3">
      <c r="A16" s="1" t="s">
        <v>70</v>
      </c>
      <c r="B16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6" s="1" t="str">
        <f>IF(Promotores9[[#This Row],[Sell Out]]&gt;=300000,"A+",IF(Promotores9[[#This Row],[Sell Out]]&gt;=260000,"A",IF(Promotores9[[#This Row],[Sell Out]]&gt;=200000,"B","C")))</f>
        <v>C</v>
      </c>
      <c r="D16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6" s="70">
        <f>IFERROR(IF(OR(VLOOKUP(A16,Rotas[[PROMOTOR]:[REGIONAL]],2,0)="Pará Sul",VLOOKUP(A16,Rotas[[PROMOTOR]:[REGIONAL]],2,0)="Pará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6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6" s="70">
        <f>IFERROR(IF(OR(VLOOKUP(A16,Rotas[[PROMOTOR]:[REGIONAL]],2,0)="Pará Sul",VLOOKUP(A16,Rotas[[PROMOTOR]:[REGIONAL]],2,0)="Pará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6" s="61">
        <f>IFERROR(IFERROR(VLOOKUP(Promotores9[[#This Row],[Promotor]],#REF!,2,0),0)/IFERROR(VLOOKUP(Promotores9[[#This Row],[Promotor]],#REF!,4,0),0),0)</f>
        <v>0</v>
      </c>
      <c r="I16" s="70">
        <f>IFERROR(IF(OR(VLOOKUP(A16,Rotas[[PROMOTOR]:[REGIONAL]],2,0)="Pará Sul",VLOOKUP(A16,Rotas[[PROMOTOR]:[REGIONAL]],2,0)="Pará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6" s="61">
        <f>IFERROR(IFERROR(VLOOKUP(Promotores9[[#This Row],[Promotor]],#REF!,2,0),0)/IFERROR(VLOOKUP(Promotores9[[#This Row],[Promotor]],#REF!,4,0),0),0)</f>
        <v>0</v>
      </c>
      <c r="K16" s="70">
        <f>0</f>
        <v>0</v>
      </c>
      <c r="L16" s="61">
        <f>IFERROR(IFERROR(VLOOKUP(Promotores9[[#This Row],[Promotor]],#REF!,2,0),0)/IFERROR(VLOOKUP(Promotores9[[#This Row],[Promotor]],#REF!,4,0),0),0)</f>
        <v>0</v>
      </c>
      <c r="M16" s="70"/>
      <c r="N16" s="70">
        <f>IF(Promotores9[[#This Row],[Sell Out]]=0,0,IF($H$2&gt;=115%,225,IF($H$2&gt;=100%,150,IF($H$2&gt;=90%,75,0))))</f>
        <v>0</v>
      </c>
      <c r="O16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6" s="75">
        <f>IFERROR(IFERROR(VLOOKUP(Promotores9[[#This Row],[Promotor]],#REF!,6,0),0)/IFERROR(VLOOKUP(Promotores9[[#This Row],[Promotor]],#REF!,2,0),0),0)</f>
        <v>0</v>
      </c>
      <c r="Q16" s="70">
        <f>IF(AND(P16&lt;=1.5%,Promotores9[[#This Row],[Sell Out]]&gt;0,Promotores9[[#This Row],[% Avi]]&lt;&gt;0),225,0)</f>
        <v>0</v>
      </c>
      <c r="R16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6" s="70" t="s">
        <v>103</v>
      </c>
      <c r="T16" s="125">
        <f>IFERROR(VLOOKUP(Promotores9[[#This Row],[Promotor]],Base_APP[[Meta]:[% Estoque]],8,0),0)</f>
        <v>0</v>
      </c>
      <c r="U16" s="125">
        <f>IFERROR(VLOOKUP(Promotores9[[#This Row],[Promotor]],Base_APP[[Meta]:[% Estoque]],5,0),0)</f>
        <v>0</v>
      </c>
      <c r="X16" s="134" t="s">
        <v>307</v>
      </c>
      <c r="Y16" s="135" t="e">
        <f>GETPIVOTDATA(" Resultado",#REF!,"Supervisor","Edinaldo")+GETPIVOTDATA("Soma de Resultado",#REF!,"Supervisor","Edinaldo")</f>
        <v>#REF!</v>
      </c>
      <c r="Z16" s="67" t="s">
        <v>430</v>
      </c>
      <c r="AA16" s="136" t="e">
        <f>GETPIVOTDATA(" Resultado",#REF!,"Supervisor","Edinaldo")/GETPIVOTDATA(" META",#REF!,"Supervisor","Edinaldo")</f>
        <v>#REF!</v>
      </c>
      <c r="AB16" s="135" t="e">
        <f>IF(AA16&lt;90%,0,IF(AA16&gt;=115%,440,IF(AA16&gt;=100%,350,150)))</f>
        <v>#REF!</v>
      </c>
      <c r="AC16" s="136" t="e">
        <f>GETPIVOTDATA("Soma de Resultado",#REF!,"Supervisor","Edinaldo")/GETPIVOTDATA("Soma de META",#REF!,"Supervisor","Edinaldo")</f>
        <v>#REF!</v>
      </c>
      <c r="AD16" s="135" t="e">
        <f>IF(AC16&lt;90%,0,IF(AC16&gt;=115%,440,IF(AC16&gt;=100%,350,150)))</f>
        <v>#REF!</v>
      </c>
      <c r="AE16" s="136">
        <f>IFERROR(GETPIVOTDATA("Soma de Tendência",#REF!,"Supervisor","Edinaldo")/GETPIVOTDATA("Soma de META",#REF!,"Supervisor","Edinaldo"),0)</f>
        <v>0</v>
      </c>
      <c r="AF16" s="135">
        <f>IF(AE16&lt;90%,0,IF(AE16&gt;=115%,440,IF(AE16&gt;=100%,350,150)))</f>
        <v>0</v>
      </c>
      <c r="AG16" s="136">
        <f>IFERROR(VLOOKUP(Coordenadores10[[#This Row],[Coordenador]],#REF!,2,0)/VLOOKUP(Coordenadores10[[#This Row],[Coordenador]],#REF!,4,0),0)</f>
        <v>0</v>
      </c>
      <c r="AH16" s="135">
        <f>IFERROR(IF(Coordenadores10[[#This Row],[Coordenador]]="Raianne",IF($C$2=$AH$5,(IF(Coordenadores10[[#This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Premiação'!$Z$4:$AC$6,2,0),0))))*2,IF(Coordenadores10[[#This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Premiação'!$Z$4:$AC$6,2,0),0)))),IF($C$1=$AH$5,(IF(Coordenadores10[[#This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Premiação'!$Z$4:$AC$6,2,0),0))))*2,IF(Coordenadores10[[#This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Premiação'!$Z$4:$AC$6,2,0),0))))),0)</f>
        <v>0</v>
      </c>
      <c r="AI16" s="136">
        <f>IFERROR(VLOOKUP(Coordenadores10[[#This Row],[Coordenador]],#REF!,2,0)/VLOOKUP(Coordenadores10[[#This Row],[Coordenador]],#REF!,4,0),0)</f>
        <v>0</v>
      </c>
      <c r="AJ16" s="135">
        <f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f>
        <v>0</v>
      </c>
      <c r="AK16" s="135">
        <f>IF($H$2&gt;=115%,360,IF($H$2&gt;=100%,250,IF($H$2&gt;=90%,130,0)))</f>
        <v>250</v>
      </c>
      <c r="AL16" s="135">
        <v>400</v>
      </c>
      <c r="AM16" s="136" t="e">
        <f>GETPIVOTDATA(" Devolução",#REF!,"Supervisor","Edinaldo")/GETPIVOTDATA(" Resultado",#REF!,"Supervisor","Edinaldo")</f>
        <v>#REF!</v>
      </c>
      <c r="AN16" s="135" t="e">
        <f>IF(AM16&lt;=1.5%,400,0)</f>
        <v>#REF!</v>
      </c>
      <c r="AO16" s="96" t="e">
        <f>AN16+AK16+AD16+AB16+AL16+AF16</f>
        <v>#REF!</v>
      </c>
    </row>
    <row r="17" spans="1:41" x14ac:dyDescent="0.3">
      <c r="A17" s="1" t="s">
        <v>445</v>
      </c>
      <c r="B17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7" s="1" t="str">
        <f>IF(Promotores9[[#This Row],[Sell Out]]&gt;=300000,"A+",IF(Promotores9[[#This Row],[Sell Out]]&gt;=260000,"A",IF(Promotores9[[#This Row],[Sell Out]]&gt;=200000,"B","C")))</f>
        <v>C</v>
      </c>
      <c r="D17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7" s="70">
        <f>IFERROR(IF(OR(VLOOKUP(A17,Rotas[[PROMOTOR]:[REGIONAL]],2,0)="Pará Sul",VLOOKUP(A17,Rotas[[PROMOTOR]:[REGIONAL]],2,0)="Pará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7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7" s="70">
        <f>IFERROR(IF(OR(VLOOKUP(A17,Rotas[[PROMOTOR]:[REGIONAL]],2,0)="Pará Sul",VLOOKUP(A17,Rotas[[PROMOTOR]:[REGIONAL]],2,0)="Pará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7" s="61">
        <f>IFERROR(IFERROR(VLOOKUP(Promotores9[[#This Row],[Promotor]],#REF!,2,0),0)/IFERROR(VLOOKUP(Promotores9[[#This Row],[Promotor]],#REF!,4,0),0),0)</f>
        <v>0</v>
      </c>
      <c r="I17" s="70">
        <f>IFERROR(IF(OR(VLOOKUP(A17,Rotas[[PROMOTOR]:[REGIONAL]],2,0)="Pará Sul",VLOOKUP(A17,Rotas[[PROMOTOR]:[REGIONAL]],2,0)="Pará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7" s="61">
        <f>IFERROR(IFERROR(VLOOKUP(Promotores9[[#This Row],[Promotor]],#REF!,2,0),0)/IFERROR(VLOOKUP(Promotores9[[#This Row],[Promotor]],#REF!,4,0),0),0)</f>
        <v>0</v>
      </c>
      <c r="K17" s="70">
        <f>0</f>
        <v>0</v>
      </c>
      <c r="L17" s="61">
        <f>IFERROR(IFERROR(VLOOKUP(Promotores9[[#This Row],[Promotor]],#REF!,2,0),0)/IFERROR(VLOOKUP(Promotores9[[#This Row],[Promotor]],#REF!,4,0),0),0)</f>
        <v>0</v>
      </c>
      <c r="M17" s="70"/>
      <c r="N17" s="70">
        <f>IF(Promotores9[[#This Row],[Sell Out]]=0,0,IF($H$2&gt;=115%,225,IF($H$2&gt;=100%,150,IF($H$2&gt;=90%,75,0))))</f>
        <v>0</v>
      </c>
      <c r="O17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7" s="75">
        <f>IFERROR(IFERROR(VLOOKUP(Promotores9[[#This Row],[Promotor]],#REF!,6,0),0)/IFERROR(VLOOKUP(Promotores9[[#This Row],[Promotor]],#REF!,2,0),0),0)</f>
        <v>0</v>
      </c>
      <c r="Q17" s="70">
        <f>IF(AND(P17&lt;=1.5%,Promotores9[[#This Row],[Sell Out]]&gt;0,Promotores9[[#This Row],[% Avi]]&lt;&gt;0),225,0)</f>
        <v>0</v>
      </c>
      <c r="R17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7" s="70" t="s">
        <v>116</v>
      </c>
      <c r="T17" s="125">
        <f>IFERROR(VLOOKUP(Promotores9[[#This Row],[Promotor]],Base_APP[[Meta]:[% Estoque]],8,0),0)</f>
        <v>0</v>
      </c>
      <c r="U17" s="125">
        <f>IFERROR(VLOOKUP(Promotores9[[#This Row],[Promotor]],Base_APP[[Meta]:[% Estoque]],5,0),0)</f>
        <v>0</v>
      </c>
      <c r="X17" s="134" t="s">
        <v>378</v>
      </c>
      <c r="Y17" s="135" t="e">
        <f>GETPIVOTDATA(" Resultado",#REF!)+GETPIVOTDATA("Soma de Resultado",#REF!)+GETPIVOTDATA("Soma de Resultado",#REF!)</f>
        <v>#REF!</v>
      </c>
      <c r="Z17" s="67" t="s">
        <v>430</v>
      </c>
      <c r="AA17" s="136" t="e">
        <f>GETPIVOTDATA(" Resultado",#REF!)/GETPIVOTDATA(" META",#REF!)</f>
        <v>#REF!</v>
      </c>
      <c r="AB17" s="135" t="e">
        <f>IF(AA17&lt;90%,0,IF(AA17&gt;=115%,440,IF(AA17&gt;=100%,350,150)))</f>
        <v>#REF!</v>
      </c>
      <c r="AC17" s="136" t="e">
        <f>GETPIVOTDATA("Soma de Tendência",#REF!)/GETPIVOTDATA("Soma de META",#REF!)</f>
        <v>#REF!</v>
      </c>
      <c r="AD17" s="135" t="e">
        <f>IF(AC17&lt;90%,0,IF(AC17&gt;=115%,440,IF(AC17&gt;=100%,350,150)))</f>
        <v>#REF!</v>
      </c>
      <c r="AE17" s="136">
        <f>IFERROR(GETPIVOTDATA("Soma de Tendência",#REF!)/GETPIVOTDATA("Soma de META",#REF!),0)</f>
        <v>0</v>
      </c>
      <c r="AF17" s="135">
        <f>IF(AE17&lt;90%,0,IF(AE17&gt;=115%,440,IF(AE17&gt;=100%,350,150)))</f>
        <v>0</v>
      </c>
      <c r="AG17" s="136">
        <f>IFERROR(VLOOKUP(Coordenadores10[[#This Row],[Coordenador]],#REF!,2,0)/VLOOKUP(Coordenadores10[[#This Row],[Coordenador]],#REF!,4,0),0)</f>
        <v>0</v>
      </c>
      <c r="AH17" s="135">
        <f>IFERROR(IF(Coordenadores10[[#This Row],[Coordenador]]="Raianne",IF($C$2=$AH$5,(IF(Coordenadores10[[#This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Premiação'!$Z$4:$AC$6,2,0),0))))*2,IF(Coordenadores10[[#This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Premiação'!$Z$4:$AC$6,2,0),0)))),IF($C$1=$AH$5,(IF(Coordenadores10[[#This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Premiação'!$Z$4:$AC$6,2,0),0))))*2,IF(Coordenadores10[[#This Row],[% S&amp;V]]&gt;=115%,VLOOKUP(Coordenadores10[[#This Row],[Nível]],'Regras Premiação'!$Z$4:$AC$6,4,0),IF(Coordenadores10[[#This Row],[% S&amp;V]]&gt;=100%,VLOOKUP(Coordenadores10[[#This Row],[Nível]],'Regras Premiação'!$Z$4:$AC$6,3,0),IF(Coordenadores10[[#This Row],[% S&amp;V]]&gt;=90%,VLOOKUP(Coordenadores10[[#This Row],[Nível]],'Regras Premiação'!$Z$4:$AC$6,2,0),0))))),0)</f>
        <v>0</v>
      </c>
      <c r="AI17" s="136">
        <f>IFERROR(VLOOKUP(Coordenadores10[[#This Row],[Coordenador]],#REF!,2,0)/VLOOKUP(Coordenadores10[[#This Row],[Coordenador]],#REF!,4,0),0)</f>
        <v>0</v>
      </c>
      <c r="AJ17" s="135">
        <f>IFERROR(IF(Coordenadores10[[#This Row],[Coordenador]]="Raianne",IF($C$2=$AJ$5,(IF(Coordenadores10[[#This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Premiação'!$Z$4:$AC$6,2,0),0)))),IF($C$1=$AJ$5,(IF(Coordenadores10[[#This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Premiação'!$Z$4:$AC$6,2,0),0))))*2,IF(Coordenadores10[[#This Row],[% Treb]]&gt;=115%,VLOOKUP(Coordenadores10[[#This Row],[Nível]],'Regras Premiação'!$Z$4:$AC$6,4,0),IF(Coordenadores10[[#This Row],[% Treb]]&gt;=100%,VLOOKUP(Coordenadores10[[#This Row],[Nível]],'Regras Premiação'!$Z$4:$AC$6,3,0),IF(Coordenadores10[[#This Row],[% Treb]]&gt;=90%,VLOOKUP(Coordenadores10[[#This Row],[Nível]],'Regras Premiação'!$Z$4:$AC$6,2,0),0))))),0)</f>
        <v>0</v>
      </c>
      <c r="AK17" s="135">
        <f>IF($H$2&gt;=115%,360,IF($H$2&gt;=100%,250,IF($H$2&gt;=90%,130,0)))</f>
        <v>250</v>
      </c>
      <c r="AL17" s="135">
        <v>400</v>
      </c>
      <c r="AM17" s="136" t="e">
        <f>GETPIVOTDATA(" Devolução",#REF!)/GETPIVOTDATA(" Tendência",#REF!)</f>
        <v>#REF!</v>
      </c>
      <c r="AN17" s="135" t="e">
        <f>IF(AM17&lt;=1.5%,400,0)</f>
        <v>#REF!</v>
      </c>
      <c r="AO17" s="96" t="e">
        <f>AN17+AK17+AD17+AB17+AL17+AF17</f>
        <v>#REF!</v>
      </c>
    </row>
    <row r="18" spans="1:41" x14ac:dyDescent="0.3">
      <c r="A18" s="1" t="s">
        <v>71</v>
      </c>
      <c r="B18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8" s="1" t="str">
        <f>IF(Promotores9[[#This Row],[Sell Out]]&gt;=300000,"A+",IF(Promotores9[[#This Row],[Sell Out]]&gt;=260000,"A",IF(Promotores9[[#This Row],[Sell Out]]&gt;=200000,"B","C")))</f>
        <v>C</v>
      </c>
      <c r="D18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8" s="70">
        <f>IFERROR(IF(OR(VLOOKUP(A18,Rotas[[PROMOTOR]:[REGIONAL]],2,0)="Pará Sul",VLOOKUP(A18,Rotas[[PROMOTOR]:[REGIONAL]],2,0)="Pará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8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8" s="70">
        <f>IFERROR(IF(OR(VLOOKUP(A18,Rotas[[PROMOTOR]:[REGIONAL]],2,0)="Pará Sul",VLOOKUP(A18,Rotas[[PROMOTOR]:[REGIONAL]],2,0)="Pará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8" s="61">
        <f>IFERROR(IFERROR(VLOOKUP(Promotores9[[#This Row],[Promotor]],#REF!,2,0),0)/IFERROR(VLOOKUP(Promotores9[[#This Row],[Promotor]],#REF!,4,0),0),0)</f>
        <v>0</v>
      </c>
      <c r="I18" s="70">
        <f>IFERROR(IF(OR(VLOOKUP(A18,Rotas[[PROMOTOR]:[REGIONAL]],2,0)="Pará Sul",VLOOKUP(A18,Rotas[[PROMOTOR]:[REGIONAL]],2,0)="Pará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8" s="61">
        <f>IFERROR(IFERROR(VLOOKUP(Promotores9[[#This Row],[Promotor]],#REF!,2,0),0)/IFERROR(VLOOKUP(Promotores9[[#This Row],[Promotor]],#REF!,4,0),0),0)</f>
        <v>0</v>
      </c>
      <c r="K18" s="70">
        <f>0</f>
        <v>0</v>
      </c>
      <c r="L18" s="61">
        <f>IFERROR(IFERROR(VLOOKUP(Promotores9[[#This Row],[Promotor]],#REF!,2,0),0)/IFERROR(VLOOKUP(Promotores9[[#This Row],[Promotor]],#REF!,4,0),0),0)</f>
        <v>0</v>
      </c>
      <c r="M18" s="70"/>
      <c r="N18" s="70">
        <f>IF(Promotores9[[#This Row],[Sell Out]]=0,0,IF($H$2&gt;=115%,225,IF($H$2&gt;=100%,150,IF($H$2&gt;=90%,75,0))))</f>
        <v>0</v>
      </c>
      <c r="O18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8" s="75">
        <f>IFERROR(IFERROR(VLOOKUP(Promotores9[[#This Row],[Promotor]],#REF!,6,0),0)/IFERROR(VLOOKUP(Promotores9[[#This Row],[Promotor]],#REF!,2,0),0),0)</f>
        <v>0</v>
      </c>
      <c r="Q18" s="70">
        <f>IF(AND(P18&lt;=1.5%,Promotores9[[#This Row],[Sell Out]]&gt;0,Promotores9[[#This Row],[% Avi]]&lt;&gt;0),225,0)</f>
        <v>0</v>
      </c>
      <c r="R18" s="70">
        <v>450</v>
      </c>
      <c r="S18" s="70" t="s">
        <v>103</v>
      </c>
      <c r="T18" s="125">
        <f>IFERROR(VLOOKUP(Promotores9[[#This Row],[Promotor]],Base_APP[[Meta]:[% Estoque]],8,0),0)</f>
        <v>0</v>
      </c>
      <c r="U18" s="125">
        <f>IFERROR(VLOOKUP(Promotores9[[#This Row],[Promotor]],Base_APP[[Meta]:[% Estoque]],5,0),0)</f>
        <v>0</v>
      </c>
    </row>
    <row r="19" spans="1:41" x14ac:dyDescent="0.3">
      <c r="A19" s="1" t="s">
        <v>72</v>
      </c>
      <c r="B19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19" s="1" t="str">
        <f>IF(Promotores9[[#This Row],[Sell Out]]&gt;=300000,"A+",IF(Promotores9[[#This Row],[Sell Out]]&gt;=260000,"A",IF(Promotores9[[#This Row],[Sell Out]]&gt;=200000,"B","C")))</f>
        <v>C</v>
      </c>
      <c r="D19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19" s="70">
        <f>IFERROR(IF(OR(VLOOKUP(A19,Rotas[[PROMOTOR]:[REGIONAL]],2,0)="Pará Sul",VLOOKUP(A19,Rotas[[PROMOTOR]:[REGIONAL]],2,0)="Pará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19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19" s="70">
        <f>IFERROR(IF(OR(VLOOKUP(A19,Rotas[[PROMOTOR]:[REGIONAL]],2,0)="Pará Sul",VLOOKUP(A19,Rotas[[PROMOTOR]:[REGIONAL]],2,0)="Pará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19" s="61">
        <f>IFERROR(IFERROR(VLOOKUP(Promotores9[[#This Row],[Promotor]],#REF!,2,0),0)/IFERROR(VLOOKUP(Promotores9[[#This Row],[Promotor]],#REF!,4,0),0),0)</f>
        <v>0</v>
      </c>
      <c r="I19" s="70">
        <f>IFERROR(IF(OR(VLOOKUP(A19,Rotas[[PROMOTOR]:[REGIONAL]],2,0)="Pará Sul",VLOOKUP(A19,Rotas[[PROMOTOR]:[REGIONAL]],2,0)="Pará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19" s="61">
        <f>IFERROR(IFERROR(VLOOKUP(Promotores9[[#This Row],[Promotor]],#REF!,2,0),0)/IFERROR(VLOOKUP(Promotores9[[#This Row],[Promotor]],#REF!,4,0),0),0)</f>
        <v>0</v>
      </c>
      <c r="K19" s="70">
        <f>0</f>
        <v>0</v>
      </c>
      <c r="L19" s="61">
        <f>IFERROR(IFERROR(VLOOKUP(Promotores9[[#This Row],[Promotor]],#REF!,2,0),0)/IFERROR(VLOOKUP(Promotores9[[#This Row],[Promotor]],#REF!,4,0),0),0)</f>
        <v>0</v>
      </c>
      <c r="M19" s="70"/>
      <c r="N19" s="70">
        <f>IF(Promotores9[[#This Row],[Sell Out]]=0,0,IF($H$2&gt;=115%,225,IF($H$2&gt;=100%,150,IF($H$2&gt;=90%,75,0))))</f>
        <v>0</v>
      </c>
      <c r="O19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19" s="75">
        <f>IFERROR(IFERROR(VLOOKUP(Promotores9[[#This Row],[Promotor]],#REF!,6,0),0)/IFERROR(VLOOKUP(Promotores9[[#This Row],[Promotor]],#REF!,2,0),0),0)</f>
        <v>0</v>
      </c>
      <c r="Q19" s="70">
        <f>IF(AND(P19&lt;=1.5%,Promotores9[[#This Row],[Sell Out]]&gt;0,Promotores9[[#This Row],[% Avi]]&lt;&gt;0),225,0)</f>
        <v>0</v>
      </c>
      <c r="R19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19" s="70" t="s">
        <v>119</v>
      </c>
      <c r="T19" s="125">
        <f>IFERROR(VLOOKUP(Promotores9[[#This Row],[Promotor]],Base_APP[[Meta]:[% Estoque]],8,0),0)</f>
        <v>0</v>
      </c>
      <c r="U19" s="125">
        <f>IFERROR(VLOOKUP(Promotores9[[#This Row],[Promotor]],Base_APP[[Meta]:[% Estoque]],5,0),0)</f>
        <v>0</v>
      </c>
    </row>
    <row r="20" spans="1:41" x14ac:dyDescent="0.3">
      <c r="A20" s="1" t="s">
        <v>74</v>
      </c>
      <c r="B20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0" s="1" t="str">
        <f>IF(Promotores9[[#This Row],[Sell Out]]&gt;=300000,"A+",IF(Promotores9[[#This Row],[Sell Out]]&gt;=260000,"A",IF(Promotores9[[#This Row],[Sell Out]]&gt;=200000,"B","C")))</f>
        <v>C</v>
      </c>
      <c r="D20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0" s="70">
        <f>IFERROR(IF(OR(VLOOKUP(A20,Rotas[[PROMOTOR]:[REGIONAL]],2,0)="Pará Sul",VLOOKUP(A20,Rotas[[PROMOTOR]:[REGIONAL]],2,0)="Pará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0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0" s="70">
        <f>IFERROR(IF(OR(VLOOKUP(A20,Rotas[[PROMOTOR]:[REGIONAL]],2,0)="Pará Sul",VLOOKUP(A20,Rotas[[PROMOTOR]:[REGIONAL]],2,0)="Pará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0" s="61">
        <f>IFERROR(IFERROR(VLOOKUP(Promotores9[[#This Row],[Promotor]],#REF!,2,0),0)/IFERROR(VLOOKUP(Promotores9[[#This Row],[Promotor]],#REF!,4,0),0),0)</f>
        <v>0</v>
      </c>
      <c r="I20" s="70">
        <f>IFERROR(IF(OR(VLOOKUP(A20,Rotas[[PROMOTOR]:[REGIONAL]],2,0)="Pará Sul",VLOOKUP(A20,Rotas[[PROMOTOR]:[REGIONAL]],2,0)="Pará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0" s="61">
        <f>IFERROR(IFERROR(VLOOKUP(Promotores9[[#This Row],[Promotor]],#REF!,2,0),0)/IFERROR(VLOOKUP(Promotores9[[#This Row],[Promotor]],#REF!,4,0),0),0)</f>
        <v>0</v>
      </c>
      <c r="K20" s="70">
        <f>0</f>
        <v>0</v>
      </c>
      <c r="L20" s="61">
        <f>IFERROR(IFERROR(VLOOKUP(Promotores9[[#This Row],[Promotor]],#REF!,2,0),0)/IFERROR(VLOOKUP(Promotores9[[#This Row],[Promotor]],#REF!,4,0),0),0)</f>
        <v>0</v>
      </c>
      <c r="M20" s="70"/>
      <c r="N20" s="70">
        <f>IF(Promotores9[[#This Row],[Sell Out]]=0,0,IF($H$2&gt;=115%,225,IF($H$2&gt;=100%,150,IF($H$2&gt;=90%,75,0))))</f>
        <v>0</v>
      </c>
      <c r="O20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0" s="75">
        <f>IFERROR(IFERROR(VLOOKUP(Promotores9[[#This Row],[Promotor]],#REF!,6,0),0)/IFERROR(VLOOKUP(Promotores9[[#This Row],[Promotor]],#REF!,2,0),0),0)</f>
        <v>0</v>
      </c>
      <c r="Q20" s="70">
        <f>IF(AND(P20&lt;=1.5%,Promotores9[[#This Row],[Sell Out]]&gt;0,Promotores9[[#This Row],[% Avi]]&lt;&gt;0),225,0)</f>
        <v>0</v>
      </c>
      <c r="R20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0" s="70" t="s">
        <v>103</v>
      </c>
      <c r="T20" s="125">
        <f>IFERROR(VLOOKUP(Promotores9[[#This Row],[Promotor]],Base_APP[[Meta]:[% Estoque]],8,0),0)</f>
        <v>0</v>
      </c>
      <c r="U20" s="125">
        <f>IFERROR(VLOOKUP(Promotores9[[#This Row],[Promotor]],Base_APP[[Meta]:[% Estoque]],5,0),0)</f>
        <v>0</v>
      </c>
    </row>
    <row r="21" spans="1:41" ht="15.6" x14ac:dyDescent="0.3">
      <c r="A21" s="1" t="s">
        <v>76</v>
      </c>
      <c r="B21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1" s="1" t="str">
        <f>IF(Promotores9[[#This Row],[Sell Out]]&gt;=300000,"A+",IF(Promotores9[[#This Row],[Sell Out]]&gt;=260000,"A",IF(Promotores9[[#This Row],[Sell Out]]&gt;=200000,"B","C")))</f>
        <v>C</v>
      </c>
      <c r="D21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1" s="70">
        <f>IFERROR(IF(OR(VLOOKUP(A21,Rotas[[PROMOTOR]:[REGIONAL]],2,0)="Pará Sul",VLOOKUP(A21,Rotas[[PROMOTOR]:[REGIONAL]],2,0)="Pará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1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1" s="70">
        <f>IFERROR(IF(OR(VLOOKUP(A21,Rotas[[PROMOTOR]:[REGIONAL]],2,0)="Pará Sul",VLOOKUP(A21,Rotas[[PROMOTOR]:[REGIONAL]],2,0)="Pará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1" s="61">
        <f>IFERROR(IFERROR(VLOOKUP(Promotores9[[#This Row],[Promotor]],#REF!,2,0),0)/IFERROR(VLOOKUP(Promotores9[[#This Row],[Promotor]],#REF!,4,0),0),0)</f>
        <v>0</v>
      </c>
      <c r="I21" s="70">
        <f>IFERROR(IF(OR(VLOOKUP(A21,Rotas[[PROMOTOR]:[REGIONAL]],2,0)="Pará Sul",VLOOKUP(A21,Rotas[[PROMOTOR]:[REGIONAL]],2,0)="Pará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1" s="61">
        <f>IFERROR(IFERROR(VLOOKUP(Promotores9[[#This Row],[Promotor]],#REF!,2,0),0)/IFERROR(VLOOKUP(Promotores9[[#This Row],[Promotor]],#REF!,4,0),0),0)</f>
        <v>0</v>
      </c>
      <c r="K21" s="70">
        <f>0</f>
        <v>0</v>
      </c>
      <c r="L21" s="61">
        <f>IFERROR(IFERROR(VLOOKUP(Promotores9[[#This Row],[Promotor]],#REF!,2,0),0)/IFERROR(VLOOKUP(Promotores9[[#This Row],[Promotor]],#REF!,4,0),0),0)</f>
        <v>0</v>
      </c>
      <c r="M21" s="70"/>
      <c r="N21" s="70">
        <f>IF(Promotores9[[#This Row],[Sell Out]]=0,0,IF($H$2&gt;=115%,225,IF($H$2&gt;=100%,150,IF($H$2&gt;=90%,75,0))))</f>
        <v>0</v>
      </c>
      <c r="O21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1" s="75">
        <f>IFERROR(IFERROR(VLOOKUP(Promotores9[[#This Row],[Promotor]],#REF!,6,0),0)/IFERROR(VLOOKUP(Promotores9[[#This Row],[Promotor]],#REF!,2,0),0),0)</f>
        <v>0</v>
      </c>
      <c r="Q21" s="70">
        <f>IF(AND(P21&lt;=1.5%,Promotores9[[#This Row],[Sell Out]]&gt;0,Promotores9[[#This Row],[% Avi]]&lt;&gt;0),225,0)</f>
        <v>0</v>
      </c>
      <c r="R21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1" s="70" t="s">
        <v>103</v>
      </c>
      <c r="T21" s="125">
        <f>IFERROR(VLOOKUP(Promotores9[[#This Row],[Promotor]],Base_APP[[Meta]:[% Estoque]],8,0),0)</f>
        <v>0</v>
      </c>
      <c r="U21" s="125">
        <f>IFERROR(VLOOKUP(Promotores9[[#This Row],[Promotor]],Base_APP[[Meta]:[% Estoque]],5,0),0)</f>
        <v>0</v>
      </c>
      <c r="X21" s="159" t="s">
        <v>464</v>
      </c>
      <c r="Y21" s="159" t="s">
        <v>94</v>
      </c>
      <c r="Z21" s="159" t="s">
        <v>58</v>
      </c>
      <c r="AA21" s="159" t="s">
        <v>6</v>
      </c>
      <c r="AB21" s="159" t="s">
        <v>7</v>
      </c>
      <c r="AC21" s="159" t="s">
        <v>8</v>
      </c>
      <c r="AD21" s="159" t="s">
        <v>9</v>
      </c>
      <c r="AE21" s="159" t="s">
        <v>10</v>
      </c>
      <c r="AF21" s="159" t="s">
        <v>11</v>
      </c>
      <c r="AG21" s="159" t="s">
        <v>12</v>
      </c>
      <c r="AH21" s="159" t="s">
        <v>13</v>
      </c>
      <c r="AI21" s="159" t="s">
        <v>344</v>
      </c>
      <c r="AJ21" s="159" t="s">
        <v>345</v>
      </c>
      <c r="AK21" s="159" t="s">
        <v>14</v>
      </c>
      <c r="AL21" s="159" t="s">
        <v>19</v>
      </c>
      <c r="AM21" s="159" t="s">
        <v>15</v>
      </c>
      <c r="AN21" s="159" t="s">
        <v>16</v>
      </c>
      <c r="AO21" s="160" t="s">
        <v>17</v>
      </c>
    </row>
    <row r="22" spans="1:41" x14ac:dyDescent="0.3">
      <c r="A22" s="1" t="s">
        <v>78</v>
      </c>
      <c r="B22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2" s="1" t="str">
        <f>IF(Promotores9[[#This Row],[Sell Out]]&gt;=300000,"A+",IF(Promotores9[[#This Row],[Sell Out]]&gt;=260000,"A",IF(Promotores9[[#This Row],[Sell Out]]&gt;=200000,"B","C")))</f>
        <v>C</v>
      </c>
      <c r="D22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2" s="70">
        <f>IFERROR(IF(OR(VLOOKUP(A22,Rotas[[PROMOTOR]:[REGIONAL]],2,0)="Pará Sul",VLOOKUP(A22,Rotas[[PROMOTOR]:[REGIONAL]],2,0)="Pará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2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2" s="70">
        <f>IFERROR(IF(OR(VLOOKUP(A22,Rotas[[PROMOTOR]:[REGIONAL]],2,0)="Pará Sul",VLOOKUP(A22,Rotas[[PROMOTOR]:[REGIONAL]],2,0)="Pará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2" s="61">
        <f>IFERROR(IFERROR(VLOOKUP(Promotores9[[#This Row],[Promotor]],#REF!,2,0),0)/IFERROR(VLOOKUP(Promotores9[[#This Row],[Promotor]],#REF!,4,0),0),0)</f>
        <v>0</v>
      </c>
      <c r="I22" s="70">
        <f>IFERROR(IF(OR(VLOOKUP(A22,Rotas[[PROMOTOR]:[REGIONAL]],2,0)="Pará Sul",VLOOKUP(A22,Rotas[[PROMOTOR]:[REGIONAL]],2,0)="Pará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2" s="61">
        <f>IFERROR(IFERROR(VLOOKUP(Promotores9[[#This Row],[Promotor]],#REF!,2,0),0)/IFERROR(VLOOKUP(Promotores9[[#This Row],[Promotor]],#REF!,4,0),0),0)</f>
        <v>0</v>
      </c>
      <c r="K22" s="70">
        <f>0</f>
        <v>0</v>
      </c>
      <c r="L22" s="61">
        <f>IFERROR(IFERROR(VLOOKUP(Promotores9[[#This Row],[Promotor]],#REF!,2,0),0)/IFERROR(VLOOKUP(Promotores9[[#This Row],[Promotor]],#REF!,4,0),0),0)</f>
        <v>0</v>
      </c>
      <c r="M22" s="70"/>
      <c r="N22" s="70">
        <f>IF(Promotores9[[#This Row],[Sell Out]]=0,0,IF($H$2&gt;=115%,225,IF($H$2&gt;=100%,150,IF($H$2&gt;=90%,75,0))))</f>
        <v>0</v>
      </c>
      <c r="O22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2" s="75">
        <f>IFERROR(IFERROR(VLOOKUP(Promotores9[[#This Row],[Promotor]],#REF!,6,0),0)/IFERROR(VLOOKUP(Promotores9[[#This Row],[Promotor]],#REF!,2,0),0),0)</f>
        <v>0</v>
      </c>
      <c r="Q22" s="70">
        <f>IF(AND(P22&lt;=1.5%,Promotores9[[#This Row],[Sell Out]]&gt;0,Promotores9[[#This Row],[% Avi]]&lt;&gt;0),225,0)</f>
        <v>0</v>
      </c>
      <c r="R22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2" s="70" t="s">
        <v>246</v>
      </c>
      <c r="T22" s="125">
        <f>IFERROR(VLOOKUP(Promotores9[[#This Row],[Promotor]],Base_APP[[Meta]:[% Estoque]],8,0),0)</f>
        <v>0</v>
      </c>
      <c r="U22" s="125">
        <f>IFERROR(VLOOKUP(Promotores9[[#This Row],[Promotor]],Base_APP[[Meta]:[% Estoque]],5,0),0)</f>
        <v>0</v>
      </c>
      <c r="X22" s="161" t="s">
        <v>465</v>
      </c>
      <c r="Y22" s="162" t="s">
        <v>430</v>
      </c>
      <c r="Z22" s="163" t="s">
        <v>430</v>
      </c>
      <c r="AA22" s="164" t="e">
        <f>AA17</f>
        <v>#REF!</v>
      </c>
      <c r="AB22" s="162" t="e">
        <f>IF(AA22&lt;90%,0,IF(AA22&gt;=115%,225,IF(AA22&gt;=100%,150,75)))</f>
        <v>#REF!</v>
      </c>
      <c r="AC22" s="164" t="e">
        <f>AC17</f>
        <v>#REF!</v>
      </c>
      <c r="AD22" s="162" t="e">
        <f>IF(AC22&lt;90%,0,IF(AC22&gt;=115%,225,IF(AC22&gt;=100%,150,75)))</f>
        <v>#REF!</v>
      </c>
      <c r="AE22" s="164">
        <f>AE17</f>
        <v>0</v>
      </c>
      <c r="AF22" s="162">
        <f>IF(AE22&lt;90%,0,IF(AE22&gt;=115%,225,IF(AE22&gt;=100%,150,75)))</f>
        <v>0</v>
      </c>
      <c r="AG22" s="164"/>
      <c r="AH22" s="162"/>
      <c r="AI22" s="164"/>
      <c r="AJ22" s="162"/>
      <c r="AK22" s="162">
        <f>IF($H$2&gt;=115%,225,IF($H$2&gt;=100%,150,IF($H$2&gt;=90%,75,0)))</f>
        <v>150</v>
      </c>
      <c r="AL22" s="162">
        <v>225</v>
      </c>
      <c r="AM22" s="164" t="e">
        <f>AM17</f>
        <v>#REF!</v>
      </c>
      <c r="AN22" s="162" t="e">
        <f>IF(AM22&lt;=1.5%,225,0)</f>
        <v>#REF!</v>
      </c>
      <c r="AO22" s="165" t="e">
        <f t="shared" ref="AO22:AO23" si="0">AN22+AK22+AD22+AB22+AL22+AF22</f>
        <v>#REF!</v>
      </c>
    </row>
    <row r="23" spans="1:41" x14ac:dyDescent="0.3">
      <c r="A23" s="1" t="s">
        <v>79</v>
      </c>
      <c r="B23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3" s="1" t="str">
        <f>IF(Promotores9[[#This Row],[Sell Out]]&gt;=300000,"A+",IF(Promotores9[[#This Row],[Sell Out]]&gt;=260000,"A",IF(Promotores9[[#This Row],[Sell Out]]&gt;=200000,"B","C")))</f>
        <v>C</v>
      </c>
      <c r="D23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3" s="70">
        <f>IFERROR(IF(OR(VLOOKUP(A23,Rotas[[PROMOTOR]:[REGIONAL]],2,0)="Pará Sul",VLOOKUP(A23,Rotas[[PROMOTOR]:[REGIONAL]],2,0)="Pará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3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3" s="70">
        <f>IFERROR(IF(OR(VLOOKUP(A23,Rotas[[PROMOTOR]:[REGIONAL]],2,0)="Pará Sul",VLOOKUP(A23,Rotas[[PROMOTOR]:[REGIONAL]],2,0)="Pará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3" s="61">
        <f>IFERROR(IFERROR(VLOOKUP(Promotores9[[#This Row],[Promotor]],#REF!,2,0),0)/IFERROR(VLOOKUP(Promotores9[[#This Row],[Promotor]],#REF!,4,0),0),0)</f>
        <v>0</v>
      </c>
      <c r="I23" s="70">
        <f>IFERROR(IF(OR(VLOOKUP(A23,Rotas[[PROMOTOR]:[REGIONAL]],2,0)="Pará Sul",VLOOKUP(A23,Rotas[[PROMOTOR]:[REGIONAL]],2,0)="Pará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3" s="61">
        <f>IFERROR(IFERROR(VLOOKUP(Promotores9[[#This Row],[Promotor]],#REF!,2,0),0)/IFERROR(VLOOKUP(Promotores9[[#This Row],[Promotor]],#REF!,4,0),0),0)</f>
        <v>0</v>
      </c>
      <c r="K23" s="70">
        <f>0</f>
        <v>0</v>
      </c>
      <c r="L23" s="61">
        <f>IFERROR(IFERROR(VLOOKUP(Promotores9[[#This Row],[Promotor]],#REF!,2,0),0)/IFERROR(VLOOKUP(Promotores9[[#This Row],[Promotor]],#REF!,4,0),0),0)</f>
        <v>0</v>
      </c>
      <c r="M23" s="70"/>
      <c r="N23" s="70">
        <f>IF(Promotores9[[#This Row],[Sell Out]]=0,0,IF($H$2&gt;=115%,225,IF($H$2&gt;=100%,150,IF($H$2&gt;=90%,75,0))))</f>
        <v>0</v>
      </c>
      <c r="O23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3" s="75">
        <f>IFERROR(IFERROR(VLOOKUP(Promotores9[[#This Row],[Promotor]],#REF!,6,0),0)/IFERROR(VLOOKUP(Promotores9[[#This Row],[Promotor]],#REF!,2,0),0),0)</f>
        <v>0</v>
      </c>
      <c r="Q23" s="70">
        <f>IF(AND(P23&lt;=1.5%,Promotores9[[#This Row],[Sell Out]]&gt;0,Promotores9[[#This Row],[% Avi]]&lt;&gt;0),225,0)</f>
        <v>0</v>
      </c>
      <c r="R23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3" s="70" t="s">
        <v>246</v>
      </c>
      <c r="T23" s="125">
        <f>IFERROR(VLOOKUP(Promotores9[[#This Row],[Promotor]],Base_APP[[Meta]:[% Estoque]],8,0),0)</f>
        <v>0</v>
      </c>
      <c r="U23" s="125">
        <f>IFERROR(VLOOKUP(Promotores9[[#This Row],[Promotor]],Base_APP[[Meta]:[% Estoque]],5,0),0)</f>
        <v>0</v>
      </c>
      <c r="X23" s="161" t="s">
        <v>331</v>
      </c>
      <c r="Y23" s="162" t="s">
        <v>430</v>
      </c>
      <c r="Z23" s="163" t="s">
        <v>430</v>
      </c>
      <c r="AA23" s="164" t="e">
        <f>AA17</f>
        <v>#REF!</v>
      </c>
      <c r="AB23" s="162" t="e">
        <f>IF(AA23&lt;90%,0,IF(AA23&gt;=115%,225,IF(AA23&gt;=100%,150,75)))</f>
        <v>#REF!</v>
      </c>
      <c r="AC23" s="164" t="e">
        <f>AC17</f>
        <v>#REF!</v>
      </c>
      <c r="AD23" s="162" t="e">
        <f>IF(AC23&lt;90%,0,IF(AC23&gt;=115%,225,IF(AC23&gt;=100%,150,75)))</f>
        <v>#REF!</v>
      </c>
      <c r="AE23" s="164">
        <f>AE17</f>
        <v>0</v>
      </c>
      <c r="AF23" s="162">
        <f>IF(AE23&lt;90%,0,IF(AE23&gt;=115%,225,IF(AE23&gt;=100%,150,75)))</f>
        <v>0</v>
      </c>
      <c r="AG23" s="164"/>
      <c r="AH23" s="162"/>
      <c r="AI23" s="164"/>
      <c r="AJ23" s="162"/>
      <c r="AK23" s="162">
        <f>IF($H$2&gt;=115%,225,IF($H$2&gt;=100%,150,IF($H$2&gt;=90%,75,0)))</f>
        <v>150</v>
      </c>
      <c r="AL23" s="162">
        <v>225</v>
      </c>
      <c r="AM23" s="164" t="e">
        <f>AM17</f>
        <v>#REF!</v>
      </c>
      <c r="AN23" s="162" t="e">
        <f>IF(AM23&lt;=1.5%,225,0)</f>
        <v>#REF!</v>
      </c>
      <c r="AO23" s="165" t="e">
        <f t="shared" si="0"/>
        <v>#REF!</v>
      </c>
    </row>
    <row r="24" spans="1:41" x14ac:dyDescent="0.3">
      <c r="A24" s="1" t="s">
        <v>400</v>
      </c>
      <c r="B24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4" s="1" t="str">
        <f>IF(Promotores9[[#This Row],[Sell Out]]&gt;=300000,"A+",IF(Promotores9[[#This Row],[Sell Out]]&gt;=260000,"A",IF(Promotores9[[#This Row],[Sell Out]]&gt;=200000,"B","C")))</f>
        <v>C</v>
      </c>
      <c r="D24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4" s="70">
        <f>IFERROR(IF(OR(VLOOKUP(A24,Rotas[[PROMOTOR]:[REGIONAL]],2,0)="Pará Sul",VLOOKUP(A24,Rotas[[PROMOTOR]:[REGIONAL]],2,0)="Pará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4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4" s="70">
        <f>IFERROR(IF(OR(VLOOKUP(A24,Rotas[[PROMOTOR]:[REGIONAL]],2,0)="Pará Sul",VLOOKUP(A24,Rotas[[PROMOTOR]:[REGIONAL]],2,0)="Pará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4" s="61">
        <f>IFERROR(IFERROR(VLOOKUP(Promotores9[[#This Row],[Promotor]],#REF!,2,0),0)/IFERROR(VLOOKUP(Promotores9[[#This Row],[Promotor]],#REF!,4,0),0),0)</f>
        <v>0</v>
      </c>
      <c r="I24" s="70">
        <f>IFERROR(IF(OR(VLOOKUP(A24,Rotas[[PROMOTOR]:[REGIONAL]],2,0)="Pará Sul",VLOOKUP(A24,Rotas[[PROMOTOR]:[REGIONAL]],2,0)="Pará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4" s="61">
        <f>IFERROR(IFERROR(VLOOKUP(Promotores9[[#This Row],[Promotor]],#REF!,2,0),0)/IFERROR(VLOOKUP(Promotores9[[#This Row],[Promotor]],#REF!,4,0),0),0)</f>
        <v>0</v>
      </c>
      <c r="K24" s="70">
        <f>0</f>
        <v>0</v>
      </c>
      <c r="L24" s="61">
        <f>IFERROR(IFERROR(VLOOKUP(Promotores9[[#This Row],[Promotor]],#REF!,2,0),0)/IFERROR(VLOOKUP(Promotores9[[#This Row],[Promotor]],#REF!,4,0),0),0)</f>
        <v>0</v>
      </c>
      <c r="M24" s="70"/>
      <c r="N24" s="70">
        <f>IF(Promotores9[[#This Row],[Sell Out]]=0,0,IF($H$2&gt;=115%,225,IF($H$2&gt;=100%,150,IF($H$2&gt;=90%,75,0))))</f>
        <v>0</v>
      </c>
      <c r="O24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4" s="75">
        <f>IFERROR(IFERROR(VLOOKUP(Promotores9[[#This Row],[Promotor]],#REF!,6,0),0)/IFERROR(VLOOKUP(Promotores9[[#This Row],[Promotor]],#REF!,2,0),0),0)</f>
        <v>0</v>
      </c>
      <c r="Q24" s="70">
        <f>IF(AND(P24&lt;=1.5%,Promotores9[[#This Row],[Sell Out]]&gt;0,Promotores9[[#This Row],[% Avi]]&lt;&gt;0),225,0)</f>
        <v>0</v>
      </c>
      <c r="R24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4" s="70" t="s">
        <v>443</v>
      </c>
      <c r="T24" s="125">
        <f>IFERROR(VLOOKUP(Promotores9[[#This Row],[Promotor]],Base_APP[[Meta]:[% Estoque]],8,0),0)</f>
        <v>0</v>
      </c>
      <c r="U24" s="125">
        <f>IFERROR(VLOOKUP(Promotores9[[#This Row],[Promotor]],Base_APP[[Meta]:[% Estoque]],5,0),0)</f>
        <v>0</v>
      </c>
    </row>
    <row r="25" spans="1:41" x14ac:dyDescent="0.3">
      <c r="A25" s="1" t="s">
        <v>377</v>
      </c>
      <c r="B25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5" s="1" t="str">
        <f>IF(Promotores9[[#This Row],[Sell Out]]&gt;=300000,"A+",IF(Promotores9[[#This Row],[Sell Out]]&gt;=260000,"A",IF(Promotores9[[#This Row],[Sell Out]]&gt;=200000,"B","C")))</f>
        <v>C</v>
      </c>
      <c r="D25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5" s="70">
        <f>IFERROR(IF(OR(VLOOKUP(A25,Rotas[[PROMOTOR]:[REGIONAL]],2,0)="Pará Sul",VLOOKUP(A25,Rotas[[PROMOTOR]:[REGIONAL]],2,0)="Pará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5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5" s="70">
        <f>IFERROR(IF(OR(VLOOKUP(A25,Rotas[[PROMOTOR]:[REGIONAL]],2,0)="Pará Sul",VLOOKUP(A25,Rotas[[PROMOTOR]:[REGIONAL]],2,0)="Pará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5" s="61">
        <f>IFERROR(IFERROR(VLOOKUP(Promotores9[[#This Row],[Promotor]],#REF!,2,0),0)/IFERROR(VLOOKUP(Promotores9[[#This Row],[Promotor]],#REF!,4,0),0),0)</f>
        <v>0</v>
      </c>
      <c r="I25" s="70">
        <f>IFERROR(IF(OR(VLOOKUP(A25,Rotas[[PROMOTOR]:[REGIONAL]],2,0)="Pará Sul",VLOOKUP(A25,Rotas[[PROMOTOR]:[REGIONAL]],2,0)="Pará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5" s="61">
        <f>IFERROR(IFERROR(VLOOKUP(Promotores9[[#This Row],[Promotor]],#REF!,2,0),0)/IFERROR(VLOOKUP(Promotores9[[#This Row],[Promotor]],#REF!,4,0),0),0)</f>
        <v>0</v>
      </c>
      <c r="K25" s="70">
        <f>0</f>
        <v>0</v>
      </c>
      <c r="L25" s="61">
        <f>IFERROR(IFERROR(VLOOKUP(Promotores9[[#This Row],[Promotor]],#REF!,2,0),0)/IFERROR(VLOOKUP(Promotores9[[#This Row],[Promotor]],#REF!,4,0),0),0)</f>
        <v>0</v>
      </c>
      <c r="M25" s="70"/>
      <c r="N25" s="70">
        <f>IF(Promotores9[[#This Row],[Sell Out]]=0,0,IF($H$2&gt;=115%,225,IF($H$2&gt;=100%,150,IF($H$2&gt;=90%,75,0))))</f>
        <v>0</v>
      </c>
      <c r="O25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5" s="75">
        <f>IFERROR(IFERROR(VLOOKUP(Promotores9[[#This Row],[Promotor]],#REF!,6,0),0)/IFERROR(VLOOKUP(Promotores9[[#This Row],[Promotor]],#REF!,2,0),0),0)</f>
        <v>0</v>
      </c>
      <c r="Q25" s="70">
        <f>IF(AND(P25&lt;=1.5%,Promotores9[[#This Row],[Sell Out]]&gt;0,Promotores9[[#This Row],[% Avi]]&lt;&gt;0),225,0)</f>
        <v>0</v>
      </c>
      <c r="R25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5" s="70" t="s">
        <v>103</v>
      </c>
      <c r="T25" s="125">
        <f>IFERROR(VLOOKUP(Promotores9[[#This Row],[Promotor]],Base_APP[[Meta]:[% Estoque]],8,0),0)</f>
        <v>0</v>
      </c>
      <c r="U25" s="125">
        <f>IFERROR(VLOOKUP(Promotores9[[#This Row],[Promotor]],Base_APP[[Meta]:[% Estoque]],5,0),0)</f>
        <v>0</v>
      </c>
    </row>
    <row r="26" spans="1:41" x14ac:dyDescent="0.3">
      <c r="A26" s="1" t="s">
        <v>294</v>
      </c>
      <c r="B26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6" s="1" t="str">
        <f>IF(Promotores9[[#This Row],[Sell Out]]&gt;=300000,"A+",IF(Promotores9[[#This Row],[Sell Out]]&gt;=260000,"A",IF(Promotores9[[#This Row],[Sell Out]]&gt;=200000,"B","C")))</f>
        <v>C</v>
      </c>
      <c r="D26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6" s="70">
        <f>IFERROR(IF(OR(VLOOKUP(A26,Rotas[[PROMOTOR]:[REGIONAL]],2,0)="Pará Sul",VLOOKUP(A26,Rotas[[PROMOTOR]:[REGIONAL]],2,0)="Pará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6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6" s="70">
        <f>IFERROR(IF(OR(VLOOKUP(A26,Rotas[[PROMOTOR]:[REGIONAL]],2,0)="Pará Sul",VLOOKUP(A26,Rotas[[PROMOTOR]:[REGIONAL]],2,0)="Pará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6" s="61">
        <f>IFERROR(IFERROR(VLOOKUP(Promotores9[[#This Row],[Promotor]],#REF!,2,0),0)/IFERROR(VLOOKUP(Promotores9[[#This Row],[Promotor]],#REF!,4,0),0),0)</f>
        <v>0</v>
      </c>
      <c r="I26" s="70">
        <f>IFERROR(IF(OR(VLOOKUP(A26,Rotas[[PROMOTOR]:[REGIONAL]],2,0)="Pará Sul",VLOOKUP(A26,Rotas[[PROMOTOR]:[REGIONAL]],2,0)="Pará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6" s="61">
        <f>IFERROR(IFERROR(VLOOKUP(Promotores9[[#This Row],[Promotor]],#REF!,2,0),0)/IFERROR(VLOOKUP(Promotores9[[#This Row],[Promotor]],#REF!,4,0),0),0)</f>
        <v>0</v>
      </c>
      <c r="K26" s="70">
        <f>0</f>
        <v>0</v>
      </c>
      <c r="L26" s="61">
        <f>IFERROR(IFERROR(VLOOKUP(Promotores9[[#This Row],[Promotor]],#REF!,2,0),0)/IFERROR(VLOOKUP(Promotores9[[#This Row],[Promotor]],#REF!,4,0),0),0)</f>
        <v>0</v>
      </c>
      <c r="M26" s="70"/>
      <c r="N26" s="70">
        <f>IF(Promotores9[[#This Row],[Sell Out]]=0,0,IF($H$2&gt;=115%,225,IF($H$2&gt;=100%,150,IF($H$2&gt;=90%,75,0))))</f>
        <v>0</v>
      </c>
      <c r="O26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6" s="75">
        <f>IFERROR(IFERROR(VLOOKUP(Promotores9[[#This Row],[Promotor]],#REF!,6,0),0)/IFERROR(VLOOKUP(Promotores9[[#This Row],[Promotor]],#REF!,2,0),0),0)</f>
        <v>0</v>
      </c>
      <c r="Q26" s="70">
        <f>IF(AND(P26&lt;=1.5%,Promotores9[[#This Row],[Sell Out]]&gt;0,Promotores9[[#This Row],[% Avi]]&lt;&gt;0),225,0)</f>
        <v>0</v>
      </c>
      <c r="R26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6" s="70" t="s">
        <v>103</v>
      </c>
      <c r="T26" s="125">
        <f>IFERROR(VLOOKUP(Promotores9[[#This Row],[Promotor]],Base_APP[[Meta]:[% Estoque]],8,0),0)</f>
        <v>0</v>
      </c>
      <c r="U26" s="125">
        <f>IFERROR(VLOOKUP(Promotores9[[#This Row],[Promotor]],Base_APP[[Meta]:[% Estoque]],5,0),0)</f>
        <v>0</v>
      </c>
    </row>
    <row r="27" spans="1:41" x14ac:dyDescent="0.3">
      <c r="A27" s="1" t="s">
        <v>426</v>
      </c>
      <c r="B27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7" s="1" t="str">
        <f>IF(Promotores9[[#This Row],[Sell Out]]&gt;=300000,"A+",IF(Promotores9[[#This Row],[Sell Out]]&gt;=260000,"A",IF(Promotores9[[#This Row],[Sell Out]]&gt;=200000,"B","C")))</f>
        <v>C</v>
      </c>
      <c r="D27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7" s="70">
        <f>IFERROR(IF(OR(VLOOKUP(A27,Rotas[[PROMOTOR]:[REGIONAL]],2,0)="Pará Sul",VLOOKUP(A27,Rotas[[PROMOTOR]:[REGIONAL]],2,0)="Pará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7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7" s="70">
        <f>IFERROR(IF(OR(VLOOKUP(A27,Rotas[[PROMOTOR]:[REGIONAL]],2,0)="Pará Sul",VLOOKUP(A27,Rotas[[PROMOTOR]:[REGIONAL]],2,0)="Pará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7" s="61">
        <f>IFERROR(IFERROR(VLOOKUP(Promotores9[[#This Row],[Promotor]],#REF!,2,0),0)/IFERROR(VLOOKUP(Promotores9[[#This Row],[Promotor]],#REF!,4,0),0),0)</f>
        <v>0</v>
      </c>
      <c r="I27" s="70">
        <f>IFERROR(IF(OR(VLOOKUP(A27,Rotas[[PROMOTOR]:[REGIONAL]],2,0)="Pará Sul",VLOOKUP(A27,Rotas[[PROMOTOR]:[REGIONAL]],2,0)="Pará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7" s="61">
        <f>IFERROR(IFERROR(VLOOKUP(Promotores9[[#This Row],[Promotor]],#REF!,2,0),0)/IFERROR(VLOOKUP(Promotores9[[#This Row],[Promotor]],#REF!,4,0),0),0)</f>
        <v>0</v>
      </c>
      <c r="K27" s="70">
        <f>0</f>
        <v>0</v>
      </c>
      <c r="L27" s="61">
        <f>IFERROR(IFERROR(VLOOKUP(Promotores9[[#This Row],[Promotor]],#REF!,2,0),0)/IFERROR(VLOOKUP(Promotores9[[#This Row],[Promotor]],#REF!,4,0),0),0)</f>
        <v>0</v>
      </c>
      <c r="M27" s="70"/>
      <c r="N27" s="70">
        <f>IF(Promotores9[[#This Row],[Sell Out]]=0,0,IF($H$2&gt;=115%,225,IF($H$2&gt;=100%,150,IF($H$2&gt;=90%,75,0))))</f>
        <v>0</v>
      </c>
      <c r="O27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7" s="75">
        <f>IFERROR(IFERROR(VLOOKUP(Promotores9[[#This Row],[Promotor]],#REF!,6,0),0)/IFERROR(VLOOKUP(Promotores9[[#This Row],[Promotor]],#REF!,2,0),0),0)</f>
        <v>0</v>
      </c>
      <c r="Q27" s="70">
        <f>IF(AND(P27&lt;=1.5%,Promotores9[[#This Row],[Sell Out]]&gt;0,Promotores9[[#This Row],[% Avi]]&lt;&gt;0),225,0)</f>
        <v>0</v>
      </c>
      <c r="R27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7" s="70" t="s">
        <v>103</v>
      </c>
      <c r="T27" s="125">
        <f>IFERROR(VLOOKUP(Promotores9[[#This Row],[Promotor]],Base_APP[[Meta]:[% Estoque]],8,0),0)</f>
        <v>0</v>
      </c>
      <c r="U27" s="125">
        <f>IFERROR(VLOOKUP(Promotores9[[#This Row],[Promotor]],Base_APP[[Meta]:[% Estoque]],5,0),0)</f>
        <v>0</v>
      </c>
    </row>
    <row r="28" spans="1:41" x14ac:dyDescent="0.3">
      <c r="A28" s="1" t="s">
        <v>394</v>
      </c>
      <c r="B28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8" s="1" t="str">
        <f>IF(Promotores9[[#This Row],[Sell Out]]&gt;=300000,"A+",IF(Promotores9[[#This Row],[Sell Out]]&gt;=260000,"A",IF(Promotores9[[#This Row],[Sell Out]]&gt;=200000,"B","C")))</f>
        <v>C</v>
      </c>
      <c r="D28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8" s="70">
        <f>IFERROR(IF(OR(VLOOKUP(A28,Rotas[[PROMOTOR]:[REGIONAL]],2,0)="Pará Sul",VLOOKUP(A28,Rotas[[PROMOTOR]:[REGIONAL]],2,0)="Pará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8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8" s="70">
        <f>IFERROR(IF(OR(VLOOKUP(A28,Rotas[[PROMOTOR]:[REGIONAL]],2,0)="Pará Sul",VLOOKUP(A28,Rotas[[PROMOTOR]:[REGIONAL]],2,0)="Pará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8" s="61">
        <f>IFERROR(IFERROR(VLOOKUP(Promotores9[[#This Row],[Promotor]],#REF!,2,0),0)/IFERROR(VLOOKUP(Promotores9[[#This Row],[Promotor]],#REF!,4,0),0),0)</f>
        <v>0</v>
      </c>
      <c r="I28" s="70">
        <f>IFERROR(IF(OR(VLOOKUP(A28,Rotas[[PROMOTOR]:[REGIONAL]],2,0)="Pará Sul",VLOOKUP(A28,Rotas[[PROMOTOR]:[REGIONAL]],2,0)="Pará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8" s="61">
        <f>IFERROR(IFERROR(VLOOKUP(Promotores9[[#This Row],[Promotor]],#REF!,2,0),0)/IFERROR(VLOOKUP(Promotores9[[#This Row],[Promotor]],#REF!,4,0),0),0)</f>
        <v>0</v>
      </c>
      <c r="K28" s="70">
        <f>0</f>
        <v>0</v>
      </c>
      <c r="L28" s="61">
        <f>IFERROR(IFERROR(VLOOKUP(Promotores9[[#This Row],[Promotor]],#REF!,2,0),0)/IFERROR(VLOOKUP(Promotores9[[#This Row],[Promotor]],#REF!,4,0),0),0)</f>
        <v>0</v>
      </c>
      <c r="M28" s="70"/>
      <c r="N28" s="70">
        <f>IF(Promotores9[[#This Row],[Sell Out]]=0,0,IF($H$2&gt;=115%,225,IF($H$2&gt;=100%,150,IF($H$2&gt;=90%,75,0))))</f>
        <v>0</v>
      </c>
      <c r="O28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8" s="75">
        <f>IFERROR(IFERROR(VLOOKUP(Promotores9[[#This Row],[Promotor]],#REF!,6,0),0)/IFERROR(VLOOKUP(Promotores9[[#This Row],[Promotor]],#REF!,2,0),0),0)</f>
        <v>0</v>
      </c>
      <c r="Q28" s="70">
        <f>IF(AND(P28&lt;=1.5%,Promotores9[[#This Row],[Sell Out]]&gt;0,Promotores9[[#This Row],[% Avi]]&lt;&gt;0),225,0)</f>
        <v>0</v>
      </c>
      <c r="R28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8" s="70" t="s">
        <v>103</v>
      </c>
      <c r="T28" s="125">
        <f>IFERROR(VLOOKUP(Promotores9[[#This Row],[Promotor]],Base_APP[[Meta]:[% Estoque]],8,0),0)</f>
        <v>0</v>
      </c>
      <c r="U28" s="125">
        <f>IFERROR(VLOOKUP(Promotores9[[#This Row],[Promotor]],Base_APP[[Meta]:[% Estoque]],5,0),0)</f>
        <v>0</v>
      </c>
    </row>
    <row r="29" spans="1:41" x14ac:dyDescent="0.3">
      <c r="A29" s="1" t="s">
        <v>83</v>
      </c>
      <c r="B29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29" s="1" t="str">
        <f>IF(Promotores9[[#This Row],[Sell Out]]&gt;=300000,"A+",IF(Promotores9[[#This Row],[Sell Out]]&gt;=260000,"A",IF(Promotores9[[#This Row],[Sell Out]]&gt;=200000,"B","C")))</f>
        <v>C</v>
      </c>
      <c r="D29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29" s="70">
        <f>IFERROR(IF(OR(VLOOKUP(A29,Rotas[[PROMOTOR]:[REGIONAL]],2,0)="Pará Sul",VLOOKUP(A29,Rotas[[PROMOTOR]:[REGIONAL]],2,0)="Pará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29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29" s="70">
        <f>IFERROR(IF(OR(VLOOKUP(A29,Rotas[[PROMOTOR]:[REGIONAL]],2,0)="Pará Sul",VLOOKUP(A29,Rotas[[PROMOTOR]:[REGIONAL]],2,0)="Pará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29" s="61">
        <f>IFERROR(IFERROR(VLOOKUP(Promotores9[[#This Row],[Promotor]],#REF!,2,0),0)/IFERROR(VLOOKUP(Promotores9[[#This Row],[Promotor]],#REF!,4,0),0),0)</f>
        <v>0</v>
      </c>
      <c r="I29" s="70">
        <f>IFERROR(IF(OR(VLOOKUP(A29,Rotas[[PROMOTOR]:[REGIONAL]],2,0)="Pará Sul",VLOOKUP(A29,Rotas[[PROMOTOR]:[REGIONAL]],2,0)="Pará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29" s="61">
        <f>IFERROR(IFERROR(VLOOKUP(Promotores9[[#This Row],[Promotor]],#REF!,2,0),0)/IFERROR(VLOOKUP(Promotores9[[#This Row],[Promotor]],#REF!,4,0),0),0)</f>
        <v>0</v>
      </c>
      <c r="K29" s="70">
        <f>0</f>
        <v>0</v>
      </c>
      <c r="L29" s="61">
        <f>IFERROR(IFERROR(VLOOKUP(Promotores9[[#This Row],[Promotor]],#REF!,2,0),0)/IFERROR(VLOOKUP(Promotores9[[#This Row],[Promotor]],#REF!,4,0),0),0)</f>
        <v>0</v>
      </c>
      <c r="M29" s="70"/>
      <c r="N29" s="70">
        <f>IF(Promotores9[[#This Row],[Sell Out]]=0,0,IF($H$2&gt;=115%,225,IF($H$2&gt;=100%,150,IF($H$2&gt;=90%,75,0))))</f>
        <v>0</v>
      </c>
      <c r="O29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29" s="75">
        <f>IFERROR(IFERROR(VLOOKUP(Promotores9[[#This Row],[Promotor]],#REF!,6,0),0)/IFERROR(VLOOKUP(Promotores9[[#This Row],[Promotor]],#REF!,2,0),0),0)</f>
        <v>0</v>
      </c>
      <c r="Q29" s="70">
        <f>IF(AND(P29&lt;=1.5%,Promotores9[[#This Row],[Sell Out]]&gt;0,Promotores9[[#This Row],[% Avi]]&lt;&gt;0),225,0)</f>
        <v>0</v>
      </c>
      <c r="R29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29" s="70" t="s">
        <v>222</v>
      </c>
      <c r="T29" s="125">
        <f>IFERROR(VLOOKUP(Promotores9[[#This Row],[Promotor]],Base_APP[[Meta]:[% Estoque]],8,0),0)</f>
        <v>0</v>
      </c>
      <c r="U29" s="125">
        <f>IFERROR(VLOOKUP(Promotores9[[#This Row],[Promotor]],Base_APP[[Meta]:[% Estoque]],5,0),0)</f>
        <v>0</v>
      </c>
    </row>
    <row r="30" spans="1:41" x14ac:dyDescent="0.3">
      <c r="A30" s="1" t="s">
        <v>84</v>
      </c>
      <c r="B30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0" s="1" t="str">
        <f>IF(Promotores9[[#This Row],[Sell Out]]&gt;=300000,"A+",IF(Promotores9[[#This Row],[Sell Out]]&gt;=260000,"A",IF(Promotores9[[#This Row],[Sell Out]]&gt;=200000,"B","C")))</f>
        <v>C</v>
      </c>
      <c r="D30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0" s="70">
        <f>IFERROR(IF(OR(VLOOKUP(A30,Rotas[[PROMOTOR]:[REGIONAL]],2,0)="Pará Sul",VLOOKUP(A30,Rotas[[PROMOTOR]:[REGIONAL]],2,0)="Pará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0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0" s="70">
        <f>IFERROR(IF(OR(VLOOKUP(A30,Rotas[[PROMOTOR]:[REGIONAL]],2,0)="Pará Sul",VLOOKUP(A30,Rotas[[PROMOTOR]:[REGIONAL]],2,0)="Pará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0" s="61">
        <f>IFERROR(IFERROR(VLOOKUP(Promotores9[[#This Row],[Promotor]],#REF!,2,0),0)/IFERROR(VLOOKUP(Promotores9[[#This Row],[Promotor]],#REF!,4,0),0),0)</f>
        <v>0</v>
      </c>
      <c r="I30" s="70">
        <f>IFERROR(IF(OR(VLOOKUP(A30,Rotas[[PROMOTOR]:[REGIONAL]],2,0)="Pará Sul",VLOOKUP(A30,Rotas[[PROMOTOR]:[REGIONAL]],2,0)="Pará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0" s="61">
        <f>IFERROR(IFERROR(VLOOKUP(Promotores9[[#This Row],[Promotor]],#REF!,2,0),0)/IFERROR(VLOOKUP(Promotores9[[#This Row],[Promotor]],#REF!,4,0),0),0)</f>
        <v>0</v>
      </c>
      <c r="K30" s="70">
        <f>0</f>
        <v>0</v>
      </c>
      <c r="L30" s="61">
        <f>IFERROR(IFERROR(VLOOKUP(Promotores9[[#This Row],[Promotor]],#REF!,2,0),0)/IFERROR(VLOOKUP(Promotores9[[#This Row],[Promotor]],#REF!,4,0),0),0)</f>
        <v>0</v>
      </c>
      <c r="M30" s="70"/>
      <c r="N30" s="70">
        <f>IF(Promotores9[[#This Row],[Sell Out]]=0,0,IF($H$2&gt;=115%,225,IF($H$2&gt;=100%,150,IF($H$2&gt;=90%,75,0))))</f>
        <v>0</v>
      </c>
      <c r="O30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0" s="75">
        <f>IFERROR(IFERROR(VLOOKUP(Promotores9[[#This Row],[Promotor]],#REF!,6,0),0)/IFERROR(VLOOKUP(Promotores9[[#This Row],[Promotor]],#REF!,2,0),0),0)</f>
        <v>0</v>
      </c>
      <c r="Q30" s="70">
        <f>IF(AND(P30&lt;=1.5%,Promotores9[[#This Row],[Sell Out]]&gt;0,Promotores9[[#This Row],[% Avi]]&lt;&gt;0),225,0)</f>
        <v>0</v>
      </c>
      <c r="R30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0" s="70" t="s">
        <v>103</v>
      </c>
      <c r="T30" s="125">
        <f>IFERROR(VLOOKUP(Promotores9[[#This Row],[Promotor]],Base_APP[[Meta]:[% Estoque]],8,0),0)</f>
        <v>0</v>
      </c>
      <c r="U30" s="125">
        <f>IFERROR(VLOOKUP(Promotores9[[#This Row],[Promotor]],Base_APP[[Meta]:[% Estoque]],5,0),0)</f>
        <v>0</v>
      </c>
    </row>
    <row r="31" spans="1:41" x14ac:dyDescent="0.3">
      <c r="A31" s="1" t="s">
        <v>396</v>
      </c>
      <c r="B31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1" s="1" t="str">
        <f>IF(Promotores9[[#This Row],[Sell Out]]&gt;=300000,"A+",IF(Promotores9[[#This Row],[Sell Out]]&gt;=260000,"A",IF(Promotores9[[#This Row],[Sell Out]]&gt;=200000,"B","C")))</f>
        <v>C</v>
      </c>
      <c r="D31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1" s="70">
        <f>IFERROR(IF(OR(VLOOKUP(A31,Rotas[[PROMOTOR]:[REGIONAL]],2,0)="Pará Sul",VLOOKUP(A31,Rotas[[PROMOTOR]:[REGIONAL]],2,0)="Pará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1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1" s="70">
        <f>IFERROR(IF(OR(VLOOKUP(A31,Rotas[[PROMOTOR]:[REGIONAL]],2,0)="Pará Sul",VLOOKUP(A31,Rotas[[PROMOTOR]:[REGIONAL]],2,0)="Pará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1" s="61">
        <f>IFERROR(IFERROR(VLOOKUP(Promotores9[[#This Row],[Promotor]],#REF!,2,0),0)/IFERROR(VLOOKUP(Promotores9[[#This Row],[Promotor]],#REF!,4,0),0),0)</f>
        <v>0</v>
      </c>
      <c r="I31" s="70">
        <f>IFERROR(IF(OR(VLOOKUP(A31,Rotas[[PROMOTOR]:[REGIONAL]],2,0)="Pará Sul",VLOOKUP(A31,Rotas[[PROMOTOR]:[REGIONAL]],2,0)="Pará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1" s="61">
        <f>IFERROR(IFERROR(VLOOKUP(Promotores9[[#This Row],[Promotor]],#REF!,2,0),0)/IFERROR(VLOOKUP(Promotores9[[#This Row],[Promotor]],#REF!,4,0),0),0)</f>
        <v>0</v>
      </c>
      <c r="K31" s="70">
        <f>0</f>
        <v>0</v>
      </c>
      <c r="L31" s="61">
        <f>IFERROR(IFERROR(VLOOKUP(Promotores9[[#This Row],[Promotor]],#REF!,2,0),0)/IFERROR(VLOOKUP(Promotores9[[#This Row],[Promotor]],#REF!,4,0),0),0)</f>
        <v>0</v>
      </c>
      <c r="M31" s="70"/>
      <c r="N31" s="70">
        <f>IF(Promotores9[[#This Row],[Sell Out]]=0,0,IF($H$2&gt;=115%,225,IF($H$2&gt;=100%,150,IF($H$2&gt;=90%,75,0))))</f>
        <v>0</v>
      </c>
      <c r="O31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1" s="75">
        <f>IFERROR(IFERROR(VLOOKUP(Promotores9[[#This Row],[Promotor]],#REF!,6,0),0)/IFERROR(VLOOKUP(Promotores9[[#This Row],[Promotor]],#REF!,2,0),0),0)</f>
        <v>0</v>
      </c>
      <c r="Q31" s="70">
        <f>IF(AND(P31&lt;=1.5%,Promotores9[[#This Row],[Sell Out]]&gt;0,Promotores9[[#This Row],[% Avi]]&lt;&gt;0),225,0)</f>
        <v>0</v>
      </c>
      <c r="R31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1" s="70" t="s">
        <v>246</v>
      </c>
      <c r="T31" s="125">
        <f>IFERROR(VLOOKUP(Promotores9[[#This Row],[Promotor]],Base_APP[[Meta]:[% Estoque]],8,0),0)</f>
        <v>0</v>
      </c>
      <c r="U31" s="125">
        <f>IFERROR(VLOOKUP(Promotores9[[#This Row],[Promotor]],Base_APP[[Meta]:[% Estoque]],5,0),0)</f>
        <v>0</v>
      </c>
    </row>
    <row r="32" spans="1:41" x14ac:dyDescent="0.3">
      <c r="A32" s="1" t="s">
        <v>86</v>
      </c>
      <c r="B32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2" s="1" t="str">
        <f>IF(Promotores9[[#This Row],[Sell Out]]&gt;=300000,"A+",IF(Promotores9[[#This Row],[Sell Out]]&gt;=260000,"A",IF(Promotores9[[#This Row],[Sell Out]]&gt;=200000,"B","C")))</f>
        <v>C</v>
      </c>
      <c r="D32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2" s="70">
        <f>IFERROR(IF(OR(VLOOKUP(A32,Rotas[[PROMOTOR]:[REGIONAL]],2,0)="Pará Sul",VLOOKUP(A32,Rotas[[PROMOTOR]:[REGIONAL]],2,0)="Pará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2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2" s="70">
        <f>IFERROR(IF(OR(VLOOKUP(A32,Rotas[[PROMOTOR]:[REGIONAL]],2,0)="Pará Sul",VLOOKUP(A32,Rotas[[PROMOTOR]:[REGIONAL]],2,0)="Pará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2" s="61">
        <f>IFERROR(IFERROR(VLOOKUP(Promotores9[[#This Row],[Promotor]],#REF!,2,0),0)/IFERROR(VLOOKUP(Promotores9[[#This Row],[Promotor]],#REF!,4,0),0),0)</f>
        <v>0</v>
      </c>
      <c r="I32" s="70">
        <f>IFERROR(IF(OR(VLOOKUP(A32,Rotas[[PROMOTOR]:[REGIONAL]],2,0)="Pará Sul",VLOOKUP(A32,Rotas[[PROMOTOR]:[REGIONAL]],2,0)="Pará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2" s="61">
        <f>IFERROR(IFERROR(VLOOKUP(Promotores9[[#This Row],[Promotor]],#REF!,2,0),0)/IFERROR(VLOOKUP(Promotores9[[#This Row],[Promotor]],#REF!,4,0),0),0)</f>
        <v>0</v>
      </c>
      <c r="K32" s="70">
        <f>0</f>
        <v>0</v>
      </c>
      <c r="L32" s="61">
        <f>IFERROR(IFERROR(VLOOKUP(Promotores9[[#This Row],[Promotor]],#REF!,2,0),0)/IFERROR(VLOOKUP(Promotores9[[#This Row],[Promotor]],#REF!,4,0),0),0)</f>
        <v>0</v>
      </c>
      <c r="M32" s="70"/>
      <c r="N32" s="70">
        <f>IF(Promotores9[[#This Row],[Sell Out]]=0,0,IF($H$2&gt;=115%,225,IF($H$2&gt;=100%,150,IF($H$2&gt;=90%,75,0))))</f>
        <v>0</v>
      </c>
      <c r="O32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2" s="75">
        <f>IFERROR(IFERROR(VLOOKUP(Promotores9[[#This Row],[Promotor]],#REF!,6,0),0)/IFERROR(VLOOKUP(Promotores9[[#This Row],[Promotor]],#REF!,2,0),0),0)</f>
        <v>0</v>
      </c>
      <c r="Q32" s="70">
        <f>IF(AND(P32&lt;=1.5%,Promotores9[[#This Row],[Sell Out]]&gt;0,Promotores9[[#This Row],[% Avi]]&lt;&gt;0),225,0)</f>
        <v>0</v>
      </c>
      <c r="R32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2" s="70" t="s">
        <v>222</v>
      </c>
      <c r="T32" s="125">
        <f>IFERROR(VLOOKUP(Promotores9[[#This Row],[Promotor]],Base_APP[[Meta]:[% Estoque]],8,0),0)</f>
        <v>0</v>
      </c>
      <c r="U32" s="125">
        <f>IFERROR(VLOOKUP(Promotores9[[#This Row],[Promotor]],Base_APP[[Meta]:[% Estoque]],5,0),0)</f>
        <v>0</v>
      </c>
    </row>
    <row r="33" spans="1:21" x14ac:dyDescent="0.3">
      <c r="A33" s="1" t="s">
        <v>425</v>
      </c>
      <c r="B33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3" s="1" t="str">
        <f>IF(Promotores9[[#This Row],[Sell Out]]&gt;=300000,"A+",IF(Promotores9[[#This Row],[Sell Out]]&gt;=260000,"A",IF(Promotores9[[#This Row],[Sell Out]]&gt;=200000,"B","C")))</f>
        <v>C</v>
      </c>
      <c r="D33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3" s="70">
        <f>IFERROR(IF(OR(VLOOKUP(A33,Rotas[[PROMOTOR]:[REGIONAL]],2,0)="Pará Sul",VLOOKUP(A33,Rotas[[PROMOTOR]:[REGIONAL]],2,0)="Pará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3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3" s="70">
        <f>IFERROR(IF(OR(VLOOKUP(A33,Rotas[[PROMOTOR]:[REGIONAL]],2,0)="Pará Sul",VLOOKUP(A33,Rotas[[PROMOTOR]:[REGIONAL]],2,0)="Pará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3" s="61">
        <f>IFERROR(IFERROR(VLOOKUP(Promotores9[[#This Row],[Promotor]],#REF!,2,0),0)/IFERROR(VLOOKUP(Promotores9[[#This Row],[Promotor]],#REF!,4,0),0),0)</f>
        <v>0</v>
      </c>
      <c r="I33" s="70">
        <f>IFERROR(IF(OR(VLOOKUP(A33,Rotas[[PROMOTOR]:[REGIONAL]],2,0)="Pará Sul",VLOOKUP(A33,Rotas[[PROMOTOR]:[REGIONAL]],2,0)="Pará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3" s="61">
        <f>IFERROR(IFERROR(VLOOKUP(Promotores9[[#This Row],[Promotor]],#REF!,2,0),0)/IFERROR(VLOOKUP(Promotores9[[#This Row],[Promotor]],#REF!,4,0),0),0)</f>
        <v>0</v>
      </c>
      <c r="K33" s="70">
        <f>0</f>
        <v>0</v>
      </c>
      <c r="L33" s="61">
        <f>IFERROR(IFERROR(VLOOKUP(Promotores9[[#This Row],[Promotor]],#REF!,2,0),0)/IFERROR(VLOOKUP(Promotores9[[#This Row],[Promotor]],#REF!,4,0),0),0)</f>
        <v>0</v>
      </c>
      <c r="M33" s="70"/>
      <c r="N33" s="70">
        <f>IF(Promotores9[[#This Row],[Sell Out]]=0,0,IF($H$2&gt;=115%,225,IF($H$2&gt;=100%,150,IF($H$2&gt;=90%,75,0))))</f>
        <v>0</v>
      </c>
      <c r="O33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3" s="75">
        <f>IFERROR(IFERROR(VLOOKUP(Promotores9[[#This Row],[Promotor]],#REF!,6,0),0)/IFERROR(VLOOKUP(Promotores9[[#This Row],[Promotor]],#REF!,2,0),0),0)</f>
        <v>0</v>
      </c>
      <c r="Q33" s="70">
        <f>IF(AND(P33&lt;=1.5%,Promotores9[[#This Row],[Sell Out]]&gt;0,Promotores9[[#This Row],[% Avi]]&lt;&gt;0),225,0)</f>
        <v>0</v>
      </c>
      <c r="R33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3" s="70" t="s">
        <v>225</v>
      </c>
      <c r="T33" s="125">
        <f>IFERROR(VLOOKUP(Promotores9[[#This Row],[Promotor]],Base_APP[[Meta]:[% Estoque]],8,0),0)</f>
        <v>0</v>
      </c>
      <c r="U33" s="125">
        <f>IFERROR(VLOOKUP(Promotores9[[#This Row],[Promotor]],Base_APP[[Meta]:[% Estoque]],5,0),0)</f>
        <v>0</v>
      </c>
    </row>
    <row r="34" spans="1:21" x14ac:dyDescent="0.3">
      <c r="A34" s="1" t="s">
        <v>363</v>
      </c>
      <c r="B34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4" s="1" t="str">
        <f>IF(Promotores9[[#This Row],[Sell Out]]&gt;=300000,"A+",IF(Promotores9[[#This Row],[Sell Out]]&gt;=260000,"A",IF(Promotores9[[#This Row],[Sell Out]]&gt;=200000,"B","C")))</f>
        <v>C</v>
      </c>
      <c r="D34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4" s="70">
        <f>IFERROR(IF(OR(VLOOKUP(A34,Rotas[[PROMOTOR]:[REGIONAL]],2,0)="Pará Sul",VLOOKUP(A34,Rotas[[PROMOTOR]:[REGIONAL]],2,0)="Pará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4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4" s="70">
        <f>IFERROR(IF(OR(VLOOKUP(A34,Rotas[[PROMOTOR]:[REGIONAL]],2,0)="Pará Sul",VLOOKUP(A34,Rotas[[PROMOTOR]:[REGIONAL]],2,0)="Pará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4" s="61">
        <f>IFERROR(IFERROR(VLOOKUP(Promotores9[[#This Row],[Promotor]],#REF!,2,0),0)/IFERROR(VLOOKUP(Promotores9[[#This Row],[Promotor]],#REF!,4,0),0),0)</f>
        <v>0</v>
      </c>
      <c r="I34" s="70">
        <f>IFERROR(IF(OR(VLOOKUP(A34,Rotas[[PROMOTOR]:[REGIONAL]],2,0)="Pará Sul",VLOOKUP(A34,Rotas[[PROMOTOR]:[REGIONAL]],2,0)="Pará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4" s="61">
        <f>IFERROR(IFERROR(VLOOKUP(Promotores9[[#This Row],[Promotor]],#REF!,2,0),0)/IFERROR(VLOOKUP(Promotores9[[#This Row],[Promotor]],#REF!,4,0),0),0)</f>
        <v>0</v>
      </c>
      <c r="K34" s="70">
        <f>0</f>
        <v>0</v>
      </c>
      <c r="L34" s="61">
        <f>IFERROR(IFERROR(VLOOKUP(Promotores9[[#This Row],[Promotor]],#REF!,2,0),0)/IFERROR(VLOOKUP(Promotores9[[#This Row],[Promotor]],#REF!,4,0),0),0)</f>
        <v>0</v>
      </c>
      <c r="M34" s="70"/>
      <c r="N34" s="70">
        <f>IF(Promotores9[[#This Row],[Sell Out]]=0,0,IF($H$2&gt;=115%,225,IF($H$2&gt;=100%,150,IF($H$2&gt;=90%,75,0))))</f>
        <v>0</v>
      </c>
      <c r="O34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4" s="75">
        <f>IFERROR(IFERROR(VLOOKUP(Promotores9[[#This Row],[Promotor]],#REF!,6,0),0)/IFERROR(VLOOKUP(Promotores9[[#This Row],[Promotor]],#REF!,2,0),0),0)</f>
        <v>0</v>
      </c>
      <c r="Q34" s="70">
        <f>IF(AND(P34&lt;=1.5%,Promotores9[[#This Row],[Sell Out]]&gt;0,Promotores9[[#This Row],[% Avi]]&lt;&gt;0),225,0)</f>
        <v>0</v>
      </c>
      <c r="R34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4" s="70" t="s">
        <v>119</v>
      </c>
      <c r="T34" s="125">
        <f>IFERROR(VLOOKUP(Promotores9[[#This Row],[Promotor]],Base_APP[[Meta]:[% Estoque]],8,0),0)</f>
        <v>0</v>
      </c>
      <c r="U34" s="125">
        <f>IFERROR(VLOOKUP(Promotores9[[#This Row],[Promotor]],Base_APP[[Meta]:[% Estoque]],5,0),0)</f>
        <v>0</v>
      </c>
    </row>
    <row r="35" spans="1:21" x14ac:dyDescent="0.3">
      <c r="A35" s="1" t="s">
        <v>460</v>
      </c>
      <c r="B35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5" s="1" t="str">
        <f>IF(Promotores9[[#This Row],[Sell Out]]&gt;=300000,"A+",IF(Promotores9[[#This Row],[Sell Out]]&gt;=260000,"A",IF(Promotores9[[#This Row],[Sell Out]]&gt;=200000,"B","C")))</f>
        <v>C</v>
      </c>
      <c r="D35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5" s="70">
        <f>IFERROR(IF(OR(VLOOKUP(A35,Rotas[[PROMOTOR]:[REGIONAL]],2,0)="Pará Sul",VLOOKUP(A35,Rotas[[PROMOTOR]:[REGIONAL]],2,0)="Pará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5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5" s="70">
        <f>IFERROR(IF(OR(VLOOKUP(A35,Rotas[[PROMOTOR]:[REGIONAL]],2,0)="Pará Sul",VLOOKUP(A35,Rotas[[PROMOTOR]:[REGIONAL]],2,0)="Pará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5" s="61">
        <f>IFERROR(IFERROR(VLOOKUP(Promotores9[[#This Row],[Promotor]],#REF!,2,0),0)/IFERROR(VLOOKUP(Promotores9[[#This Row],[Promotor]],#REF!,4,0),0),0)</f>
        <v>0</v>
      </c>
      <c r="I35" s="70">
        <f>IFERROR(IF(OR(VLOOKUP(A35,Rotas[[PROMOTOR]:[REGIONAL]],2,0)="Pará Sul",VLOOKUP(A35,Rotas[[PROMOTOR]:[REGIONAL]],2,0)="Pará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5" s="61">
        <f>IFERROR(IFERROR(VLOOKUP(Promotores9[[#This Row],[Promotor]],#REF!,2,0),0)/IFERROR(VLOOKUP(Promotores9[[#This Row],[Promotor]],#REF!,4,0),0),0)</f>
        <v>0</v>
      </c>
      <c r="K35" s="70">
        <f>0</f>
        <v>0</v>
      </c>
      <c r="L35" s="61">
        <f>IFERROR(IFERROR(VLOOKUP(Promotores9[[#This Row],[Promotor]],#REF!,2,0),0)/IFERROR(VLOOKUP(Promotores9[[#This Row],[Promotor]],#REF!,4,0),0),0)</f>
        <v>0</v>
      </c>
      <c r="M35" s="70"/>
      <c r="N35" s="70">
        <f>IF(Promotores9[[#This Row],[Sell Out]]=0,0,IF($H$2&gt;=115%,225,IF($H$2&gt;=100%,150,IF($H$2&gt;=90%,75,0))))</f>
        <v>0</v>
      </c>
      <c r="O35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5" s="75">
        <f>IFERROR(IFERROR(VLOOKUP(Promotores9[[#This Row],[Promotor]],#REF!,6,0),0)/IFERROR(VLOOKUP(Promotores9[[#This Row],[Promotor]],#REF!,2,0),0),0)</f>
        <v>0</v>
      </c>
      <c r="Q35" s="70">
        <f>IF(AND(P35&lt;=1.5%,Promotores9[[#This Row],[Sell Out]]&gt;0,Promotores9[[#This Row],[% Avi]]&lt;&gt;0),225,0)</f>
        <v>0</v>
      </c>
      <c r="R35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5" s="70" t="s">
        <v>119</v>
      </c>
      <c r="T35" s="125">
        <f>IFERROR(VLOOKUP(Promotores9[[#This Row],[Promotor]],Base_APP[[Meta]:[% Estoque]],8,0),0)</f>
        <v>0</v>
      </c>
      <c r="U35" s="125">
        <f>IFERROR(VLOOKUP(Promotores9[[#This Row],[Promotor]],Base_APP[[Meta]:[% Estoque]],5,0),0)</f>
        <v>0</v>
      </c>
    </row>
    <row r="36" spans="1:21" x14ac:dyDescent="0.3">
      <c r="A36" s="1" t="s">
        <v>423</v>
      </c>
      <c r="B36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6" s="1" t="str">
        <f>IF(Promotores9[[#This Row],[Sell Out]]&gt;=300000,"A+",IF(Promotores9[[#This Row],[Sell Out]]&gt;=260000,"A",IF(Promotores9[[#This Row],[Sell Out]]&gt;=200000,"B","C")))</f>
        <v>C</v>
      </c>
      <c r="D36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6" s="70">
        <f>IFERROR(IF(OR(VLOOKUP(A36,Rotas[[PROMOTOR]:[REGIONAL]],2,0)="Pará Sul",VLOOKUP(A36,Rotas[[PROMOTOR]:[REGIONAL]],2,0)="Pará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6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6" s="70">
        <f>IFERROR(IF(OR(VLOOKUP(A36,Rotas[[PROMOTOR]:[REGIONAL]],2,0)="Pará Sul",VLOOKUP(A36,Rotas[[PROMOTOR]:[REGIONAL]],2,0)="Pará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6" s="61">
        <f>IFERROR(IFERROR(VLOOKUP(Promotores9[[#This Row],[Promotor]],#REF!,2,0),0)/IFERROR(VLOOKUP(Promotores9[[#This Row],[Promotor]],#REF!,4,0),0),0)</f>
        <v>0</v>
      </c>
      <c r="I36" s="70">
        <f>IFERROR(IF(OR(VLOOKUP(A36,Rotas[[PROMOTOR]:[REGIONAL]],2,0)="Pará Sul",VLOOKUP(A36,Rotas[[PROMOTOR]:[REGIONAL]],2,0)="Pará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6" s="61">
        <f>IFERROR(IFERROR(VLOOKUP(Promotores9[[#This Row],[Promotor]],#REF!,2,0),0)/IFERROR(VLOOKUP(Promotores9[[#This Row],[Promotor]],#REF!,4,0),0),0)</f>
        <v>0</v>
      </c>
      <c r="K36" s="70">
        <f>0</f>
        <v>0</v>
      </c>
      <c r="L36" s="61">
        <f>IFERROR(IFERROR(VLOOKUP(Promotores9[[#This Row],[Promotor]],#REF!,2,0),0)/IFERROR(VLOOKUP(Promotores9[[#This Row],[Promotor]],#REF!,4,0),0),0)</f>
        <v>0</v>
      </c>
      <c r="M36" s="70"/>
      <c r="N36" s="70">
        <f>IF(Promotores9[[#This Row],[Sell Out]]=0,0,IF($H$2&gt;=115%,225,IF($H$2&gt;=100%,150,IF($H$2&gt;=90%,75,0))))</f>
        <v>0</v>
      </c>
      <c r="O36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6" s="75">
        <f>IFERROR(IFERROR(VLOOKUP(Promotores9[[#This Row],[Promotor]],#REF!,6,0),0)/IFERROR(VLOOKUP(Promotores9[[#This Row],[Promotor]],#REF!,2,0),0),0)</f>
        <v>0</v>
      </c>
      <c r="Q36" s="70">
        <f>IF(AND(P36&lt;=1.5%,Promotores9[[#This Row],[Sell Out]]&gt;0,Promotores9[[#This Row],[% Avi]]&lt;&gt;0),225,0)</f>
        <v>0</v>
      </c>
      <c r="R36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6" s="70" t="s">
        <v>103</v>
      </c>
      <c r="T36" s="125">
        <f>IFERROR(VLOOKUP(Promotores9[[#This Row],[Promotor]],Base_APP[[Meta]:[% Estoque]],8,0),0)</f>
        <v>0</v>
      </c>
      <c r="U36" s="125">
        <f>IFERROR(VLOOKUP(Promotores9[[#This Row],[Promotor]],Base_APP[[Meta]:[% Estoque]],5,0),0)</f>
        <v>0</v>
      </c>
    </row>
    <row r="37" spans="1:21" x14ac:dyDescent="0.3">
      <c r="A37" s="1" t="s">
        <v>357</v>
      </c>
      <c r="B37" s="70">
        <f>IFERROR(IFERROR(IF(VLOOKUP(Promotores9[[#This Row],[Promotor]],Rotas_Geral[Prom Avine],1,0)=Promotores9[[#This Row],[Promotor]],SUMIFS(Rotas_Geral[Resultado],Rotas_Geral[Prom Avine],Promotores9[[#This Row],[Promotor]])),SUMIFS(Rotas_Geral[Resultado],Rotas_Geral[Prom Frutas],Promotores9[[#This Row],[Promotor]])),0)+IFERROR(IFERROR(IF(VLOOKUP(Promotores9[[#This Row],[Promotor]],Rotas_Geral[Prom Avine],1,0)=Promotores9[[#This Row],[Promotor]],SUMIFS(Rotas_Geral[Result Capp],Rotas_Geral[Prom Avine],Promotores9[[#This Row],[Promotor]])),SUMIFS(Rotas_Geral[Result Capp],Rotas_Geral[Prom Frutas],Promotores9[[#This Row],[Promotor]])),0)</f>
        <v>0</v>
      </c>
      <c r="C37" s="1" t="str">
        <f>IF(Promotores9[[#This Row],[Sell Out]]&gt;=300000,"A+",IF(Promotores9[[#This Row],[Sell Out]]&gt;=260000,"A",IF(Promotores9[[#This Row],[Sell Out]]&gt;=200000,"B","C")))</f>
        <v>C</v>
      </c>
      <c r="D37" s="61">
        <f>IFERROR(IFERROR(IF(VLOOKUP(Promotores9[[#This Row],[Promotor]],Rotas_Geral[Prom Avine],1,0)=Promotores9[[#This Row],[Promotor]],SUMIFS(Rotas_Geral[Resultado],Rotas_Geral[Prom Avine],Promotores9[[#This Row],[Promotor]])/SUMIFS(Rotas_Geral[Meta],Rotas_Geral[Prom Avine],Promotores9[[#This Row],[Promotor]])),SUMIFS(Rotas_Geral[Resultado],Rotas_Geral[Prom Frutas],Promotores9[[#This Row],[Promotor]])/SUMIFS(Rotas_Geral[Meta],Rotas_Geral[Prom Frutas],Promotores9[[#This Row],[Promotor]])),0)</f>
        <v>0</v>
      </c>
      <c r="E37" s="70">
        <f>IFERROR(IF(OR(VLOOKUP(A37,Rotas[[PROMOTOR]:[REGIONAL]],2,0)="Pará Sul",VLOOKUP(A37,Rotas[[PROMOTOR]:[REGIONAL]],2,0)="Pará Norte"),IF($C$2=$E$5,(IF(Promotores9[[#This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Premiação'!$T$4:$W$7,2,0),0)))),IF($C$1=$E$5,(IF(Promotores9[[#This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Premiação'!$T$4:$W$7,2,0),0))))*2,IF(Promotores9[[#This Row],[% Avi]]&gt;=115%,VLOOKUP(Promotores9[[#This Row],[Nível]],'Regras Premiação'!$T$4:$W$7,4,0),IF(Promotores9[[#This Row],[% Avi]]&gt;=100%,VLOOKUP(Promotores9[[#This Row],[Nível]],'Regras Premiação'!$T$4:$W$7,3,0),IF(Promotores9[[#This Row],[% Avi]]&gt;=90%,VLOOKUP(Promotores9[[#This Row],[Nível]],'Regras Premiação'!$T$4:$W$7,2,0),0))))),0)</f>
        <v>0</v>
      </c>
      <c r="F37" s="61">
        <f>IFERROR(IFERROR(IF(VLOOKUP(Promotores9[[#This Row],[Promotor]],Rotas_Geral[Prom Avine],1,0)=Promotores9[[#This Row],[Promotor]],SUMIFS(Rotas_Geral[Result Capp],Rotas_Geral[Prom Avine],Promotores9[[#This Row],[Promotor]])/SUMIFS(Rotas_Geral[Meta Capp],Rotas_Geral[Prom Avine],Promotores9[[#This Row],[Promotor]])),SUMIFS(Rotas_Geral[Result Capp],Rotas_Geral[Prom Frutas],Promotores9[[#This Row],[Promotor]])/SUMIFS(Rotas_Geral[Meta Capp],Rotas_Geral[Prom Frutas],Promotores9[[#This Row],[Promotor]])),0)</f>
        <v>0</v>
      </c>
      <c r="G37" s="70">
        <f>IFERROR(IF(OR(VLOOKUP(A37,Rotas[[PROMOTOR]:[REGIONAL]],2,0)="Pará Sul",VLOOKUP(A37,Rotas[[PROMOTOR]:[REGIONAL]],2,0)="Pará Norte"),IF($C$2=$G$5,(IF(Promotores9[[#This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Premiação'!$T$4:$W$7,2,0),0)))),IF($C$1=$G$5,(IF(Promotores9[[#This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Premiação'!$T$4:$W$7,2,0),0))))*2,IF(Promotores9[[#This Row],[% Capp]]&gt;=115%,VLOOKUP(Promotores9[[#This Row],[Nível]],'Regras Premiação'!$T$4:$W$7,4,0),IF(Promotores9[[#This Row],[% Capp]]&gt;=100%,VLOOKUP(Promotores9[[#This Row],[Nível]],'Regras Premiação'!$T$4:$W$7,3,0),IF(Promotores9[[#This Row],[% Capp]]&gt;=90%,VLOOKUP(Promotores9[[#This Row],[Nível]],'Regras Premiação'!$T$4:$W$7,2,0),0))))),0)</f>
        <v>0</v>
      </c>
      <c r="H37" s="61">
        <f>IFERROR(IFERROR(VLOOKUP(Promotores9[[#This Row],[Promotor]],#REF!,2,0),0)/IFERROR(VLOOKUP(Promotores9[[#This Row],[Promotor]],#REF!,4,0),0),0)</f>
        <v>0</v>
      </c>
      <c r="I37" s="70">
        <f>IFERROR(IF(OR(VLOOKUP(A37,Rotas[[PROMOTOR]:[REGIONAL]],2,0)="Pará Sul",VLOOKUP(A37,Rotas[[PROMOTOR]:[REGIONAL]],2,0)="Pará Norte"),IF($C$2=$I$5,(IF(Promotores9[[#This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Premiação'!$T$4:$W$7,2,0),0)))),IF($C$1=$I$5,(IF(Promotores9[[#This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Premiação'!$T$4:$W$7,2,0),0))))*2,IF(Promotores9[[#This Row],[% Fam]]&gt;=115%,VLOOKUP(Promotores9[[#This Row],[Nível]],'Regras Premiação'!$T$4:$W$7,4,0),IF(Promotores9[[#This Row],[% Fam]]&gt;=100%,VLOOKUP(Promotores9[[#This Row],[Nível]],'Regras Premiação'!$T$4:$W$7,3,0),IF(Promotores9[[#This Row],[% Fam]]&gt;=90%,VLOOKUP(Promotores9[[#This Row],[Nível]],'Regras Premiação'!$T$4:$W$7,2,0),0))))),0)</f>
        <v>0</v>
      </c>
      <c r="J37" s="61">
        <f>IFERROR(IFERROR(VLOOKUP(Promotores9[[#This Row],[Promotor]],#REF!,2,0),0)/IFERROR(VLOOKUP(Promotores9[[#This Row],[Promotor]],#REF!,4,0),0),0)</f>
        <v>0</v>
      </c>
      <c r="K37" s="70">
        <f>0</f>
        <v>0</v>
      </c>
      <c r="L37" s="61">
        <f>IFERROR(IFERROR(VLOOKUP(Promotores9[[#This Row],[Promotor]],#REF!,2,0),0)/IFERROR(VLOOKUP(Promotores9[[#This Row],[Promotor]],#REF!,4,0),0),0)</f>
        <v>0</v>
      </c>
      <c r="M37" s="70"/>
      <c r="N37" s="70">
        <f>IF(Promotores9[[#This Row],[Sell Out]]=0,0,IF($H$2&gt;=115%,225,IF($H$2&gt;=100%,150,IF($H$2&gt;=90%,75,0))))</f>
        <v>0</v>
      </c>
      <c r="O37" s="70">
        <f>IFERROR(SUM(IF(Promotores9[[#This Row],[Estoque]]&gt;=100%,112.5,IF(Promotores9[[#This Row],[Estoque]]&gt;=90%,56.25,0)),IF(Promotores9[[#This Row],[Preço]]&gt;=100%,112.5,IF(Promotores9[[#This Row],[Preço]]&gt;=90%,56.25,0))),0)</f>
        <v>0</v>
      </c>
      <c r="P37" s="75">
        <f>IFERROR(IFERROR(VLOOKUP(Promotores9[[#This Row],[Promotor]],#REF!,6,0),0)/IFERROR(VLOOKUP(Promotores9[[#This Row],[Promotor]],#REF!,2,0),0),0)</f>
        <v>0</v>
      </c>
      <c r="Q37" s="70">
        <f>IF(AND(P37&lt;=1.5%,Promotores9[[#This Row],[Sell Out]]&gt;0,Promotores9[[#This Row],[% Avi]]&lt;&gt;0),225,0)</f>
        <v>0</v>
      </c>
      <c r="R37" s="70">
        <f>SUM(Promotores9[[#This Row],[R$ Avi]],Promotores9[[#This Row],[R$ Capp]],Promotores9[[#This Row],[R$ Fam]],Promotores9[[#This Row],[R$ S&amp;V]],Promotores9[[#This Row],[Master]],Promotores9[[#This Row],[APP]],Promotores9[[#This Row],[R$ Dev]],Promotores9[[#This Row],[R$ Treb]])</f>
        <v>0</v>
      </c>
      <c r="S37" s="70" t="s">
        <v>103</v>
      </c>
      <c r="T37" s="125">
        <f>IFERROR(VLOOKUP(Promotores9[[#This Row],[Promotor]],Base_APP[[Meta]:[% Estoque]],8,0),0)</f>
        <v>0</v>
      </c>
      <c r="U37" s="125">
        <f>IFERROR(VLOOKUP(Promotores9[[#This Row],[Promotor]],Base_APP[[Meta]:[% Estoque]],5,0),0)</f>
        <v>0</v>
      </c>
    </row>
  </sheetData>
  <conditionalFormatting sqref="A4">
    <cfRule type="duplicateValues" dxfId="257" priority="1"/>
  </conditionalFormatting>
  <conditionalFormatting sqref="A8:A37">
    <cfRule type="duplicateValues" dxfId="256" priority="2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CA47-85A1-4415-ADDD-897FE2C336E3}">
  <sheetPr>
    <tabColor rgb="FFFFFF00"/>
  </sheetPr>
  <dimension ref="A1:S323"/>
  <sheetViews>
    <sheetView tabSelected="1" workbookViewId="0">
      <selection activeCell="G76" sqref="G76"/>
    </sheetView>
  </sheetViews>
  <sheetFormatPr defaultRowHeight="14.4" x14ac:dyDescent="0.3"/>
  <cols>
    <col min="1" max="1" width="7.109375" bestFit="1" customWidth="1"/>
    <col min="2" max="2" width="22.33203125" bestFit="1" customWidth="1"/>
    <col min="3" max="3" width="11" bestFit="1" customWidth="1"/>
    <col min="4" max="4" width="12.33203125" bestFit="1" customWidth="1"/>
    <col min="5" max="5" width="10" bestFit="1" customWidth="1"/>
    <col min="6" max="6" width="12.44140625" bestFit="1" customWidth="1"/>
    <col min="7" max="7" width="9" bestFit="1" customWidth="1"/>
    <col min="8" max="8" width="7.109375" bestFit="1" customWidth="1"/>
    <col min="9" max="9" width="7.44140625" bestFit="1" customWidth="1"/>
    <col min="10" max="11" width="18.5546875" bestFit="1" customWidth="1"/>
    <col min="12" max="12" width="18.5546875" customWidth="1"/>
    <col min="13" max="13" width="13.33203125" bestFit="1" customWidth="1"/>
    <col min="14" max="14" width="12.33203125" bestFit="1" customWidth="1"/>
    <col min="15" max="15" width="16.109375" bestFit="1" customWidth="1"/>
    <col min="18" max="18" width="10.44140625" bestFit="1" customWidth="1"/>
    <col min="19" max="19" width="9.77734375" bestFit="1" customWidth="1"/>
  </cols>
  <sheetData>
    <row r="1" spans="1:19" x14ac:dyDescent="0.3">
      <c r="A1" t="s">
        <v>612</v>
      </c>
      <c r="B1" t="s">
        <v>533</v>
      </c>
      <c r="C1" t="s">
        <v>427</v>
      </c>
      <c r="D1" t="s">
        <v>613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  <c r="O1" t="s">
        <v>553</v>
      </c>
      <c r="P1" t="s">
        <v>608</v>
      </c>
      <c r="R1" t="s">
        <v>554</v>
      </c>
      <c r="S1" t="s">
        <v>555</v>
      </c>
    </row>
    <row r="2" spans="1:19" x14ac:dyDescent="0.3">
      <c r="A2">
        <v>93</v>
      </c>
      <c r="B2" t="s">
        <v>655</v>
      </c>
      <c r="C2" t="s">
        <v>103</v>
      </c>
      <c r="D2" t="s">
        <v>627</v>
      </c>
      <c r="E2">
        <v>6441.44</v>
      </c>
      <c r="F2">
        <v>6441.44</v>
      </c>
      <c r="G2">
        <v>5000</v>
      </c>
      <c r="H2" t="s">
        <v>690</v>
      </c>
      <c r="I2">
        <v>2026</v>
      </c>
      <c r="J2" t="s">
        <v>609</v>
      </c>
      <c r="K2" t="s">
        <v>551</v>
      </c>
      <c r="L2" t="s">
        <v>551</v>
      </c>
      <c r="M2" t="s">
        <v>551</v>
      </c>
      <c r="N2" s="73">
        <v>0</v>
      </c>
      <c r="O2" t="str">
        <f>IFERROR(VLOOKUP(Basef[[#This Row],[Regional]],Tabela11[],2,0),"Vago")</f>
        <v>Liliane</v>
      </c>
      <c r="P2" t="str">
        <f>Basef[[#This Row],[Regional]]</f>
        <v>São Luís</v>
      </c>
      <c r="R2" t="s">
        <v>103</v>
      </c>
      <c r="S2" t="s">
        <v>308</v>
      </c>
    </row>
    <row r="3" spans="1:19" x14ac:dyDescent="0.3">
      <c r="A3">
        <v>409</v>
      </c>
      <c r="B3" t="s">
        <v>205</v>
      </c>
      <c r="C3" t="s">
        <v>103</v>
      </c>
      <c r="D3" t="s">
        <v>92</v>
      </c>
      <c r="E3">
        <v>28290.799999999999</v>
      </c>
      <c r="F3">
        <v>28290.799999999999</v>
      </c>
      <c r="G3">
        <v>22000</v>
      </c>
      <c r="H3" t="s">
        <v>690</v>
      </c>
      <c r="I3">
        <v>2026</v>
      </c>
      <c r="J3" t="s">
        <v>609</v>
      </c>
      <c r="K3" t="s">
        <v>551</v>
      </c>
      <c r="L3" t="s">
        <v>551</v>
      </c>
      <c r="M3" t="s">
        <v>551</v>
      </c>
      <c r="N3" s="73">
        <v>0</v>
      </c>
      <c r="O3" t="str">
        <f>IFERROR(VLOOKUP(Basef[[#This Row],[Regional]],Tabela11[],2,0),"Vago")</f>
        <v>Liliane</v>
      </c>
      <c r="P3" t="str">
        <f>Basef[[#This Row],[Regional]]</f>
        <v>São Luís</v>
      </c>
      <c r="R3" t="s">
        <v>116</v>
      </c>
      <c r="S3" t="s">
        <v>310</v>
      </c>
    </row>
    <row r="4" spans="1:19" x14ac:dyDescent="0.3">
      <c r="A4">
        <v>217</v>
      </c>
      <c r="B4" t="s">
        <v>630</v>
      </c>
      <c r="C4" t="s">
        <v>103</v>
      </c>
      <c r="D4" t="s">
        <v>93</v>
      </c>
      <c r="E4">
        <v>1157.4000000000001</v>
      </c>
      <c r="F4">
        <v>1157.4000000000001</v>
      </c>
      <c r="G4">
        <v>1000</v>
      </c>
      <c r="H4" t="s">
        <v>690</v>
      </c>
      <c r="I4">
        <v>2026</v>
      </c>
      <c r="J4" t="s">
        <v>357</v>
      </c>
      <c r="K4" t="s">
        <v>423</v>
      </c>
      <c r="L4" t="s">
        <v>423</v>
      </c>
      <c r="M4" t="s">
        <v>423</v>
      </c>
      <c r="N4" s="73">
        <v>0</v>
      </c>
      <c r="O4" t="str">
        <f>IFERROR(VLOOKUP(Basef[[#This Row],[Regional]],Tabela11[],2,0),"Vago")</f>
        <v>Liliane</v>
      </c>
      <c r="P4" t="str">
        <f>Basef[[#This Row],[Regional]]</f>
        <v>São Luís</v>
      </c>
      <c r="R4" t="s">
        <v>222</v>
      </c>
      <c r="S4" t="s">
        <v>310</v>
      </c>
    </row>
    <row r="5" spans="1:19" x14ac:dyDescent="0.3">
      <c r="A5">
        <v>554</v>
      </c>
      <c r="B5" t="s">
        <v>662</v>
      </c>
      <c r="C5" t="s">
        <v>103</v>
      </c>
      <c r="D5" t="s">
        <v>92</v>
      </c>
      <c r="E5">
        <v>22848.66</v>
      </c>
      <c r="F5">
        <v>22848.66</v>
      </c>
      <c r="G5">
        <v>27000</v>
      </c>
      <c r="H5" t="s">
        <v>690</v>
      </c>
      <c r="I5">
        <v>2026</v>
      </c>
      <c r="J5" t="s">
        <v>609</v>
      </c>
      <c r="K5" t="s">
        <v>551</v>
      </c>
      <c r="L5" t="s">
        <v>551</v>
      </c>
      <c r="M5" t="s">
        <v>551</v>
      </c>
      <c r="N5" s="73">
        <v>0</v>
      </c>
      <c r="O5" t="str">
        <f>IFERROR(VLOOKUP(Basef[[#This Row],[Regional]],Tabela11[],2,0),"Vago")</f>
        <v>Liliane</v>
      </c>
      <c r="P5" t="str">
        <f>Basef[[#This Row],[Regional]]</f>
        <v>São Luís</v>
      </c>
      <c r="R5" t="s">
        <v>246</v>
      </c>
      <c r="S5" t="s">
        <v>396</v>
      </c>
    </row>
    <row r="6" spans="1:19" x14ac:dyDescent="0.3">
      <c r="A6">
        <v>23</v>
      </c>
      <c r="B6" t="s">
        <v>645</v>
      </c>
      <c r="C6" t="s">
        <v>103</v>
      </c>
      <c r="D6" t="s">
        <v>93</v>
      </c>
      <c r="E6">
        <v>3186.58</v>
      </c>
      <c r="F6">
        <v>3186.58</v>
      </c>
      <c r="G6">
        <v>2000</v>
      </c>
      <c r="H6" t="s">
        <v>690</v>
      </c>
      <c r="I6">
        <v>2026</v>
      </c>
      <c r="J6" t="s">
        <v>549</v>
      </c>
      <c r="K6" t="s">
        <v>724</v>
      </c>
      <c r="L6" t="s">
        <v>724</v>
      </c>
      <c r="M6" t="s">
        <v>724</v>
      </c>
      <c r="N6" s="73">
        <v>0</v>
      </c>
      <c r="O6" t="str">
        <f>IFERROR(VLOOKUP(Basef[[#This Row],[Regional]],Tabela11[],2,0),"Vago")</f>
        <v>Liliane</v>
      </c>
      <c r="P6" t="str">
        <f>Basef[[#This Row],[Regional]]</f>
        <v>São Luís</v>
      </c>
      <c r="R6" t="s">
        <v>259</v>
      </c>
      <c r="S6" t="s">
        <v>396</v>
      </c>
    </row>
    <row r="7" spans="1:19" x14ac:dyDescent="0.3">
      <c r="A7">
        <v>17</v>
      </c>
      <c r="B7" t="s">
        <v>660</v>
      </c>
      <c r="C7" t="s">
        <v>103</v>
      </c>
      <c r="D7" t="s">
        <v>627</v>
      </c>
      <c r="E7">
        <v>3425.41</v>
      </c>
      <c r="F7">
        <v>3425.41</v>
      </c>
      <c r="G7">
        <v>3500</v>
      </c>
      <c r="H7" t="s">
        <v>690</v>
      </c>
      <c r="I7">
        <v>2026</v>
      </c>
      <c r="J7" t="s">
        <v>90</v>
      </c>
      <c r="K7" t="s">
        <v>90</v>
      </c>
      <c r="L7" t="s">
        <v>90</v>
      </c>
      <c r="M7" t="s">
        <v>90</v>
      </c>
      <c r="N7" s="73">
        <v>0</v>
      </c>
      <c r="O7" t="str">
        <f>IFERROR(VLOOKUP(Basef[[#This Row],[Regional]],Tabela11[],2,0),"Vago")</f>
        <v>Liliane</v>
      </c>
      <c r="P7" t="str">
        <f>Basef[[#This Row],[Regional]]</f>
        <v>São Luís</v>
      </c>
      <c r="R7" t="s">
        <v>225</v>
      </c>
      <c r="S7" t="s">
        <v>391</v>
      </c>
    </row>
    <row r="8" spans="1:19" x14ac:dyDescent="0.3">
      <c r="A8">
        <v>29</v>
      </c>
      <c r="B8" t="s">
        <v>671</v>
      </c>
      <c r="C8" t="s">
        <v>103</v>
      </c>
      <c r="D8" t="s">
        <v>92</v>
      </c>
      <c r="E8">
        <v>41844.68</v>
      </c>
      <c r="F8">
        <v>41844.68</v>
      </c>
      <c r="G8">
        <v>68000</v>
      </c>
      <c r="H8" t="s">
        <v>690</v>
      </c>
      <c r="I8">
        <v>2026</v>
      </c>
      <c r="J8" t="s">
        <v>609</v>
      </c>
      <c r="K8" t="s">
        <v>551</v>
      </c>
      <c r="L8" t="s">
        <v>551</v>
      </c>
      <c r="M8" t="s">
        <v>551</v>
      </c>
      <c r="N8" s="73">
        <v>0</v>
      </c>
      <c r="O8" t="str">
        <f>IFERROR(VLOOKUP(Basef[[#This Row],[Regional]],Tabela11[],2,0),"Vago")</f>
        <v>Liliane</v>
      </c>
      <c r="P8" t="str">
        <f>Basef[[#This Row],[Regional]]</f>
        <v>São Luís</v>
      </c>
      <c r="R8" t="s">
        <v>119</v>
      </c>
      <c r="S8" t="s">
        <v>391</v>
      </c>
    </row>
    <row r="9" spans="1:19" x14ac:dyDescent="0.3">
      <c r="A9">
        <v>218</v>
      </c>
      <c r="B9" t="s">
        <v>635</v>
      </c>
      <c r="C9" t="s">
        <v>103</v>
      </c>
      <c r="D9" t="s">
        <v>93</v>
      </c>
      <c r="E9">
        <v>1270.77</v>
      </c>
      <c r="F9">
        <v>1270.77</v>
      </c>
      <c r="G9">
        <v>1500</v>
      </c>
      <c r="H9" t="s">
        <v>690</v>
      </c>
      <c r="I9">
        <v>2026</v>
      </c>
      <c r="J9" t="s">
        <v>90</v>
      </c>
      <c r="K9" t="s">
        <v>90</v>
      </c>
      <c r="L9" t="s">
        <v>90</v>
      </c>
      <c r="M9" t="s">
        <v>90</v>
      </c>
      <c r="N9" s="73">
        <v>0</v>
      </c>
      <c r="O9" t="str">
        <f>IFERROR(VLOOKUP(Basef[[#This Row],[Regional]],Tabela11[],2,0),"Vago")</f>
        <v>Liliane</v>
      </c>
      <c r="P9" t="str">
        <f>Basef[[#This Row],[Regional]]</f>
        <v>São Luís</v>
      </c>
    </row>
    <row r="10" spans="1:19" x14ac:dyDescent="0.3">
      <c r="A10">
        <v>269</v>
      </c>
      <c r="B10" t="s">
        <v>402</v>
      </c>
      <c r="C10" t="s">
        <v>103</v>
      </c>
      <c r="D10" t="s">
        <v>92</v>
      </c>
      <c r="E10">
        <v>50962.57</v>
      </c>
      <c r="F10">
        <v>50962.57</v>
      </c>
      <c r="G10">
        <v>65500</v>
      </c>
      <c r="H10" t="s">
        <v>690</v>
      </c>
      <c r="I10">
        <v>2026</v>
      </c>
      <c r="J10" t="s">
        <v>609</v>
      </c>
      <c r="K10" t="s">
        <v>551</v>
      </c>
      <c r="L10" t="s">
        <v>551</v>
      </c>
      <c r="M10" t="s">
        <v>551</v>
      </c>
      <c r="N10" s="73">
        <v>0</v>
      </c>
      <c r="O10" t="str">
        <f>IFERROR(VLOOKUP(Basef[[#This Row],[Regional]],Tabela11[],2,0),"Vago")</f>
        <v>Liliane</v>
      </c>
      <c r="P10" t="str">
        <f>Basef[[#This Row],[Regional]]</f>
        <v>São Luís</v>
      </c>
    </row>
    <row r="11" spans="1:19" x14ac:dyDescent="0.3">
      <c r="A11">
        <v>477</v>
      </c>
      <c r="B11" t="s">
        <v>641</v>
      </c>
      <c r="C11" t="s">
        <v>103</v>
      </c>
      <c r="D11" t="s">
        <v>92</v>
      </c>
      <c r="E11">
        <v>20451.09</v>
      </c>
      <c r="F11">
        <v>20451.09</v>
      </c>
      <c r="G11">
        <v>17000</v>
      </c>
      <c r="H11" t="s">
        <v>690</v>
      </c>
      <c r="I11">
        <v>2026</v>
      </c>
      <c r="J11" t="s">
        <v>71</v>
      </c>
      <c r="K11" t="s">
        <v>596</v>
      </c>
      <c r="L11" t="s">
        <v>596</v>
      </c>
      <c r="M11" t="s">
        <v>596</v>
      </c>
      <c r="N11" s="73">
        <v>0</v>
      </c>
      <c r="O11" t="str">
        <f>IFERROR(VLOOKUP(Basef[[#This Row],[Regional]],Tabela11[],2,0),"Vago")</f>
        <v>Liliane</v>
      </c>
      <c r="P11" t="str">
        <f>Basef[[#This Row],[Regional]]</f>
        <v>São Luís</v>
      </c>
    </row>
    <row r="12" spans="1:19" x14ac:dyDescent="0.3">
      <c r="A12">
        <v>217</v>
      </c>
      <c r="B12" t="s">
        <v>630</v>
      </c>
      <c r="C12" t="s">
        <v>103</v>
      </c>
      <c r="D12" t="s">
        <v>92</v>
      </c>
      <c r="E12">
        <v>17116.59</v>
      </c>
      <c r="F12">
        <v>17116.59</v>
      </c>
      <c r="G12">
        <v>21000</v>
      </c>
      <c r="H12" t="s">
        <v>690</v>
      </c>
      <c r="I12">
        <v>2026</v>
      </c>
      <c r="J12" t="s">
        <v>357</v>
      </c>
      <c r="K12" t="s">
        <v>423</v>
      </c>
      <c r="L12" t="s">
        <v>423</v>
      </c>
      <c r="M12" t="s">
        <v>423</v>
      </c>
      <c r="N12" s="73">
        <v>0</v>
      </c>
      <c r="O12" t="str">
        <f>IFERROR(VLOOKUP(Basef[[#This Row],[Regional]],Tabela11[],2,0),"Vago")</f>
        <v>Liliane</v>
      </c>
      <c r="P12" t="str">
        <f>Basef[[#This Row],[Regional]]</f>
        <v>São Luís</v>
      </c>
    </row>
    <row r="13" spans="1:19" x14ac:dyDescent="0.3">
      <c r="A13">
        <v>408</v>
      </c>
      <c r="B13" t="s">
        <v>203</v>
      </c>
      <c r="C13" t="s">
        <v>103</v>
      </c>
      <c r="D13" t="s">
        <v>93</v>
      </c>
      <c r="E13">
        <v>3210.29</v>
      </c>
      <c r="F13">
        <v>3210.29</v>
      </c>
      <c r="G13">
        <v>500</v>
      </c>
      <c r="H13" t="s">
        <v>690</v>
      </c>
      <c r="I13">
        <v>2026</v>
      </c>
      <c r="J13" t="s">
        <v>549</v>
      </c>
      <c r="K13" t="s">
        <v>724</v>
      </c>
      <c r="L13" t="s">
        <v>724</v>
      </c>
      <c r="M13" t="s">
        <v>724</v>
      </c>
      <c r="N13" s="73">
        <v>0</v>
      </c>
      <c r="O13" t="str">
        <f>IFERROR(VLOOKUP(Basef[[#This Row],[Regional]],Tabela11[],2,0),"Vago")</f>
        <v>Liliane</v>
      </c>
      <c r="P13" t="str">
        <f>Basef[[#This Row],[Regional]]</f>
        <v>São Luís</v>
      </c>
    </row>
    <row r="14" spans="1:19" x14ac:dyDescent="0.3">
      <c r="A14">
        <v>418</v>
      </c>
      <c r="B14" t="s">
        <v>215</v>
      </c>
      <c r="C14" t="s">
        <v>103</v>
      </c>
      <c r="D14" t="s">
        <v>3</v>
      </c>
      <c r="E14">
        <v>7500.86</v>
      </c>
      <c r="F14">
        <v>7500.86</v>
      </c>
      <c r="G14">
        <v>8000</v>
      </c>
      <c r="H14" t="s">
        <v>690</v>
      </c>
      <c r="I14">
        <v>2026</v>
      </c>
      <c r="J14" t="s">
        <v>90</v>
      </c>
      <c r="K14" t="s">
        <v>596</v>
      </c>
      <c r="L14" t="s">
        <v>596</v>
      </c>
      <c r="M14" t="s">
        <v>596</v>
      </c>
      <c r="N14" s="73">
        <v>0</v>
      </c>
      <c r="O14" t="str">
        <f>IFERROR(VLOOKUP(Basef[[#This Row],[Regional]],Tabela11[],2,0),"Vago")</f>
        <v>Liliane</v>
      </c>
      <c r="P14" t="str">
        <f>Basef[[#This Row],[Regional]]</f>
        <v>São Luís</v>
      </c>
    </row>
    <row r="15" spans="1:19" x14ac:dyDescent="0.3">
      <c r="A15">
        <v>5</v>
      </c>
      <c r="B15" t="s">
        <v>632</v>
      </c>
      <c r="C15" t="s">
        <v>103</v>
      </c>
      <c r="D15" t="s">
        <v>3</v>
      </c>
      <c r="E15">
        <v>30525.96</v>
      </c>
      <c r="F15">
        <v>30525.96</v>
      </c>
      <c r="G15">
        <v>54000</v>
      </c>
      <c r="H15" t="s">
        <v>690</v>
      </c>
      <c r="I15">
        <v>2026</v>
      </c>
      <c r="J15" t="s">
        <v>357</v>
      </c>
      <c r="K15" t="s">
        <v>423</v>
      </c>
      <c r="L15" t="s">
        <v>423</v>
      </c>
      <c r="M15" t="s">
        <v>423</v>
      </c>
      <c r="N15" s="73">
        <v>0</v>
      </c>
      <c r="O15" t="str">
        <f>IFERROR(VLOOKUP(Basef[[#This Row],[Regional]],Tabela11[],2,0),"Vago")</f>
        <v>Liliane</v>
      </c>
      <c r="P15" t="str">
        <f>Basef[[#This Row],[Regional]]</f>
        <v>São Luís</v>
      </c>
    </row>
    <row r="16" spans="1:19" x14ac:dyDescent="0.3">
      <c r="A16">
        <v>7</v>
      </c>
      <c r="B16" t="s">
        <v>628</v>
      </c>
      <c r="C16" t="s">
        <v>103</v>
      </c>
      <c r="D16" t="s">
        <v>93</v>
      </c>
      <c r="E16">
        <v>15290.6</v>
      </c>
      <c r="F16">
        <v>15290.6</v>
      </c>
      <c r="G16">
        <v>29500</v>
      </c>
      <c r="H16" t="s">
        <v>690</v>
      </c>
      <c r="I16">
        <v>2026</v>
      </c>
      <c r="J16" t="s">
        <v>356</v>
      </c>
      <c r="K16" t="s">
        <v>356</v>
      </c>
      <c r="L16" t="s">
        <v>356</v>
      </c>
      <c r="M16" t="s">
        <v>356</v>
      </c>
      <c r="N16" s="73">
        <v>0</v>
      </c>
      <c r="O16" t="str">
        <f>IFERROR(VLOOKUP(Basef[[#This Row],[Regional]],Tabela11[],2,0),"Vago")</f>
        <v>Liliane</v>
      </c>
      <c r="P16" t="str">
        <f>Basef[[#This Row],[Regional]]</f>
        <v>São Luís</v>
      </c>
    </row>
    <row r="17" spans="1:16" x14ac:dyDescent="0.3">
      <c r="A17">
        <v>259</v>
      </c>
      <c r="B17" t="s">
        <v>640</v>
      </c>
      <c r="C17" t="s">
        <v>103</v>
      </c>
      <c r="D17" t="s">
        <v>92</v>
      </c>
      <c r="E17">
        <v>44692.6</v>
      </c>
      <c r="F17">
        <v>44692.6</v>
      </c>
      <c r="G17">
        <v>58000</v>
      </c>
      <c r="H17" t="s">
        <v>690</v>
      </c>
      <c r="I17">
        <v>2026</v>
      </c>
      <c r="J17" t="s">
        <v>90</v>
      </c>
      <c r="K17" t="s">
        <v>90</v>
      </c>
      <c r="L17" t="s">
        <v>90</v>
      </c>
      <c r="M17" t="s">
        <v>90</v>
      </c>
      <c r="N17" s="73">
        <v>0</v>
      </c>
      <c r="O17" t="str">
        <f>IFERROR(VLOOKUP(Basef[[#This Row],[Regional]],Tabela11[],2,0),"Vago")</f>
        <v>Liliane</v>
      </c>
      <c r="P17" t="str">
        <f>Basef[[#This Row],[Regional]]</f>
        <v>São Luís</v>
      </c>
    </row>
    <row r="18" spans="1:16" x14ac:dyDescent="0.3">
      <c r="A18">
        <v>255</v>
      </c>
      <c r="B18" t="s">
        <v>639</v>
      </c>
      <c r="C18" t="s">
        <v>103</v>
      </c>
      <c r="D18" t="s">
        <v>627</v>
      </c>
      <c r="E18">
        <v>6048.32</v>
      </c>
      <c r="F18">
        <v>6048.32</v>
      </c>
      <c r="G18">
        <v>6500</v>
      </c>
      <c r="H18" t="s">
        <v>690</v>
      </c>
      <c r="I18">
        <v>2026</v>
      </c>
      <c r="J18" t="s">
        <v>357</v>
      </c>
      <c r="K18" t="s">
        <v>423</v>
      </c>
      <c r="L18" t="s">
        <v>423</v>
      </c>
      <c r="M18" t="s">
        <v>423</v>
      </c>
      <c r="N18" s="73">
        <v>0</v>
      </c>
      <c r="O18" t="str">
        <f>IFERROR(VLOOKUP(Basef[[#This Row],[Regional]],Tabela11[],2,0),"Vago")</f>
        <v>Liliane</v>
      </c>
      <c r="P18" t="str">
        <f>Basef[[#This Row],[Regional]]</f>
        <v>São Luís</v>
      </c>
    </row>
    <row r="19" spans="1:16" x14ac:dyDescent="0.3">
      <c r="A19">
        <v>2061</v>
      </c>
      <c r="B19" t="s">
        <v>634</v>
      </c>
      <c r="C19" t="s">
        <v>103</v>
      </c>
      <c r="D19" t="s">
        <v>92</v>
      </c>
      <c r="E19">
        <v>9570.5300000000007</v>
      </c>
      <c r="F19">
        <v>9570.5300000000007</v>
      </c>
      <c r="G19">
        <v>6000</v>
      </c>
      <c r="H19" t="s">
        <v>690</v>
      </c>
      <c r="I19">
        <v>2026</v>
      </c>
      <c r="J19" t="s">
        <v>71</v>
      </c>
      <c r="K19" t="s">
        <v>724</v>
      </c>
      <c r="L19" t="s">
        <v>724</v>
      </c>
      <c r="M19" t="s">
        <v>724</v>
      </c>
      <c r="N19" s="73">
        <v>0</v>
      </c>
      <c r="O19" t="str">
        <f>IFERROR(VLOOKUP(Basef[[#This Row],[Regional]],Tabela11[],2,0),"Vago")</f>
        <v>Liliane</v>
      </c>
      <c r="P19" t="str">
        <f>Basef[[#This Row],[Regional]]</f>
        <v>São Luís</v>
      </c>
    </row>
    <row r="20" spans="1:16" x14ac:dyDescent="0.3">
      <c r="A20">
        <v>408</v>
      </c>
      <c r="B20" t="s">
        <v>203</v>
      </c>
      <c r="C20" t="s">
        <v>103</v>
      </c>
      <c r="D20" t="s">
        <v>627</v>
      </c>
      <c r="E20">
        <v>104.33</v>
      </c>
      <c r="F20">
        <v>104.33</v>
      </c>
      <c r="G20">
        <v>500</v>
      </c>
      <c r="H20" t="s">
        <v>690</v>
      </c>
      <c r="I20">
        <v>2026</v>
      </c>
      <c r="J20" t="s">
        <v>549</v>
      </c>
      <c r="K20" t="s">
        <v>724</v>
      </c>
      <c r="L20" t="s">
        <v>724</v>
      </c>
      <c r="M20" t="s">
        <v>724</v>
      </c>
      <c r="N20" s="73">
        <v>0</v>
      </c>
      <c r="O20" t="str">
        <f>IFERROR(VLOOKUP(Basef[[#This Row],[Regional]],Tabela11[],2,0),"Vago")</f>
        <v>Liliane</v>
      </c>
      <c r="P20" t="str">
        <f>Basef[[#This Row],[Regional]]</f>
        <v>São Luís</v>
      </c>
    </row>
    <row r="21" spans="1:16" x14ac:dyDescent="0.3">
      <c r="A21">
        <v>19</v>
      </c>
      <c r="B21" t="s">
        <v>684</v>
      </c>
      <c r="C21" t="s">
        <v>103</v>
      </c>
      <c r="D21" t="s">
        <v>3</v>
      </c>
      <c r="E21">
        <v>22684.18</v>
      </c>
      <c r="F21">
        <v>22684.18</v>
      </c>
      <c r="G21">
        <v>39000</v>
      </c>
      <c r="H21" t="s">
        <v>690</v>
      </c>
      <c r="I21">
        <v>2026</v>
      </c>
      <c r="J21" t="s">
        <v>71</v>
      </c>
      <c r="K21" t="s">
        <v>596</v>
      </c>
      <c r="L21" t="s">
        <v>596</v>
      </c>
      <c r="M21" t="s">
        <v>596</v>
      </c>
      <c r="N21" s="73">
        <v>360.12</v>
      </c>
      <c r="O21" t="str">
        <f>IFERROR(VLOOKUP(Basef[[#This Row],[Regional]],Tabela11[],2,0),"Vago")</f>
        <v>Liliane</v>
      </c>
      <c r="P21" t="str">
        <f>Basef[[#This Row],[Regional]]</f>
        <v>São Luís</v>
      </c>
    </row>
    <row r="22" spans="1:16" x14ac:dyDescent="0.3">
      <c r="A22">
        <v>23</v>
      </c>
      <c r="B22" t="s">
        <v>645</v>
      </c>
      <c r="C22" t="s">
        <v>103</v>
      </c>
      <c r="D22" t="s">
        <v>3</v>
      </c>
      <c r="E22">
        <v>67551.22</v>
      </c>
      <c r="F22">
        <v>67551.22</v>
      </c>
      <c r="G22">
        <v>90500</v>
      </c>
      <c r="H22" t="s">
        <v>690</v>
      </c>
      <c r="I22">
        <v>2026</v>
      </c>
      <c r="J22" t="s">
        <v>549</v>
      </c>
      <c r="K22" t="s">
        <v>724</v>
      </c>
      <c r="L22" t="s">
        <v>724</v>
      </c>
      <c r="M22" t="s">
        <v>724</v>
      </c>
      <c r="N22" s="73">
        <v>888.27</v>
      </c>
      <c r="O22" t="str">
        <f>IFERROR(VLOOKUP(Basef[[#This Row],[Regional]],Tabela11[],2,0),"Vago")</f>
        <v>Liliane</v>
      </c>
      <c r="P22" t="str">
        <f>Basef[[#This Row],[Regional]]</f>
        <v>São Luís</v>
      </c>
    </row>
    <row r="23" spans="1:16" x14ac:dyDescent="0.3">
      <c r="A23">
        <v>232</v>
      </c>
      <c r="B23" t="s">
        <v>675</v>
      </c>
      <c r="C23" t="s">
        <v>103</v>
      </c>
      <c r="D23" t="s">
        <v>627</v>
      </c>
      <c r="E23">
        <v>299.95</v>
      </c>
      <c r="F23">
        <v>299.95</v>
      </c>
      <c r="G23">
        <v>4000</v>
      </c>
      <c r="H23" t="s">
        <v>690</v>
      </c>
      <c r="I23">
        <v>2026</v>
      </c>
      <c r="J23" t="s">
        <v>357</v>
      </c>
      <c r="K23" t="s">
        <v>423</v>
      </c>
      <c r="L23" t="s">
        <v>423</v>
      </c>
      <c r="M23" t="s">
        <v>423</v>
      </c>
      <c r="N23" s="73">
        <v>0</v>
      </c>
      <c r="O23" t="str">
        <f>IFERROR(VLOOKUP(Basef[[#This Row],[Regional]],Tabela11[],2,0),"Vago")</f>
        <v>Liliane</v>
      </c>
      <c r="P23" t="str">
        <f>Basef[[#This Row],[Regional]]</f>
        <v>São Luís</v>
      </c>
    </row>
    <row r="24" spans="1:16" x14ac:dyDescent="0.3">
      <c r="A24">
        <v>259</v>
      </c>
      <c r="B24" t="s">
        <v>640</v>
      </c>
      <c r="C24" t="s">
        <v>103</v>
      </c>
      <c r="D24" t="s">
        <v>93</v>
      </c>
      <c r="E24">
        <v>3326.24</v>
      </c>
      <c r="F24">
        <v>3326.24</v>
      </c>
      <c r="G24">
        <v>3500</v>
      </c>
      <c r="H24" t="s">
        <v>690</v>
      </c>
      <c r="I24">
        <v>2026</v>
      </c>
      <c r="J24" t="s">
        <v>90</v>
      </c>
      <c r="K24" t="s">
        <v>90</v>
      </c>
      <c r="L24" t="s">
        <v>90</v>
      </c>
      <c r="M24" t="s">
        <v>90</v>
      </c>
      <c r="N24" s="73">
        <v>0</v>
      </c>
      <c r="O24" t="str">
        <f>IFERROR(VLOOKUP(Basef[[#This Row],[Regional]],Tabela11[],2,0),"Vago")</f>
        <v>Liliane</v>
      </c>
      <c r="P24" t="str">
        <f>Basef[[#This Row],[Regional]]</f>
        <v>São Luís</v>
      </c>
    </row>
    <row r="25" spans="1:16" x14ac:dyDescent="0.3">
      <c r="A25">
        <v>20</v>
      </c>
      <c r="B25" t="s">
        <v>669</v>
      </c>
      <c r="C25" t="s">
        <v>103</v>
      </c>
      <c r="D25" t="s">
        <v>3</v>
      </c>
      <c r="E25">
        <v>48073.31</v>
      </c>
      <c r="F25">
        <v>48073.31</v>
      </c>
      <c r="G25">
        <v>45000</v>
      </c>
      <c r="H25" t="s">
        <v>690</v>
      </c>
      <c r="I25">
        <v>2026</v>
      </c>
      <c r="J25" t="s">
        <v>71</v>
      </c>
      <c r="K25" t="s">
        <v>596</v>
      </c>
      <c r="L25" t="s">
        <v>596</v>
      </c>
      <c r="M25" t="s">
        <v>596</v>
      </c>
      <c r="N25" s="73">
        <v>1008.84</v>
      </c>
      <c r="O25" t="str">
        <f>IFERROR(VLOOKUP(Basef[[#This Row],[Regional]],Tabela11[],2,0),"Vago")</f>
        <v>Liliane</v>
      </c>
      <c r="P25" t="str">
        <f>Basef[[#This Row],[Regional]]</f>
        <v>São Luís</v>
      </c>
    </row>
    <row r="26" spans="1:16" x14ac:dyDescent="0.3">
      <c r="A26">
        <v>201</v>
      </c>
      <c r="B26" t="s">
        <v>657</v>
      </c>
      <c r="C26" t="s">
        <v>103</v>
      </c>
      <c r="D26" t="s">
        <v>3</v>
      </c>
      <c r="E26">
        <v>64767.14</v>
      </c>
      <c r="F26">
        <v>64767.14</v>
      </c>
      <c r="G26">
        <v>74500</v>
      </c>
      <c r="H26" t="s">
        <v>690</v>
      </c>
      <c r="I26">
        <v>2026</v>
      </c>
      <c r="J26" t="s">
        <v>90</v>
      </c>
      <c r="K26" t="s">
        <v>90</v>
      </c>
      <c r="L26" t="s">
        <v>90</v>
      </c>
      <c r="M26" t="s">
        <v>90</v>
      </c>
      <c r="N26" s="73">
        <v>860.52</v>
      </c>
      <c r="O26" t="str">
        <f>IFERROR(VLOOKUP(Basef[[#This Row],[Regional]],Tabela11[],2,0),"Vago")</f>
        <v>Liliane</v>
      </c>
      <c r="P26" t="str">
        <f>Basef[[#This Row],[Regional]]</f>
        <v>São Luís</v>
      </c>
    </row>
    <row r="27" spans="1:16" x14ac:dyDescent="0.3">
      <c r="A27">
        <v>477</v>
      </c>
      <c r="B27" t="s">
        <v>641</v>
      </c>
      <c r="C27" t="s">
        <v>103</v>
      </c>
      <c r="D27" t="s">
        <v>3</v>
      </c>
      <c r="E27">
        <v>40675.35</v>
      </c>
      <c r="F27">
        <v>40675.35</v>
      </c>
      <c r="G27">
        <v>30000</v>
      </c>
      <c r="H27" t="s">
        <v>690</v>
      </c>
      <c r="I27">
        <v>2026</v>
      </c>
      <c r="J27" t="s">
        <v>71</v>
      </c>
      <c r="K27" t="s">
        <v>596</v>
      </c>
      <c r="L27" t="s">
        <v>596</v>
      </c>
      <c r="M27" t="s">
        <v>596</v>
      </c>
      <c r="N27" s="73">
        <v>515.93000000000006</v>
      </c>
      <c r="O27" t="str">
        <f>IFERROR(VLOOKUP(Basef[[#This Row],[Regional]],Tabela11[],2,0),"Vago")</f>
        <v>Liliane</v>
      </c>
      <c r="P27" t="str">
        <f>Basef[[#This Row],[Regional]]</f>
        <v>São Luís</v>
      </c>
    </row>
    <row r="28" spans="1:16" x14ac:dyDescent="0.3">
      <c r="A28">
        <v>526</v>
      </c>
      <c r="B28" t="s">
        <v>653</v>
      </c>
      <c r="C28" t="s">
        <v>103</v>
      </c>
      <c r="D28" t="s">
        <v>3</v>
      </c>
      <c r="E28">
        <v>38700</v>
      </c>
      <c r="F28">
        <v>38700</v>
      </c>
      <c r="G28">
        <v>50000</v>
      </c>
      <c r="H28" t="s">
        <v>690</v>
      </c>
      <c r="I28">
        <v>2026</v>
      </c>
      <c r="J28" t="s">
        <v>549</v>
      </c>
      <c r="K28" t="s">
        <v>724</v>
      </c>
      <c r="L28" t="s">
        <v>724</v>
      </c>
      <c r="M28" t="s">
        <v>724</v>
      </c>
      <c r="N28" s="73">
        <v>650.30999999999995</v>
      </c>
      <c r="O28" t="str">
        <f>IFERROR(VLOOKUP(Basef[[#This Row],[Regional]],Tabela11[],2,0),"Vago")</f>
        <v>Liliane</v>
      </c>
      <c r="P28" t="str">
        <f>Basef[[#This Row],[Regional]]</f>
        <v>São Luís</v>
      </c>
    </row>
    <row r="29" spans="1:16" x14ac:dyDescent="0.3">
      <c r="A29">
        <v>11</v>
      </c>
      <c r="B29" t="s">
        <v>629</v>
      </c>
      <c r="C29" t="s">
        <v>103</v>
      </c>
      <c r="D29" t="s">
        <v>3</v>
      </c>
      <c r="E29">
        <v>41648.18</v>
      </c>
      <c r="F29">
        <v>41648.18</v>
      </c>
      <c r="G29">
        <v>47000</v>
      </c>
      <c r="H29" t="s">
        <v>690</v>
      </c>
      <c r="I29">
        <v>2026</v>
      </c>
      <c r="J29" t="s">
        <v>609</v>
      </c>
      <c r="K29" t="s">
        <v>551</v>
      </c>
      <c r="L29" t="s">
        <v>551</v>
      </c>
      <c r="M29" t="s">
        <v>551</v>
      </c>
      <c r="N29" s="73">
        <v>2467.5100000000002</v>
      </c>
      <c r="O29" t="str">
        <f>IFERROR(VLOOKUP(Basef[[#This Row],[Regional]],Tabela11[],2,0),"Vago")</f>
        <v>Liliane</v>
      </c>
      <c r="P29" t="str">
        <f>Basef[[#This Row],[Regional]]</f>
        <v>São Luís</v>
      </c>
    </row>
    <row r="30" spans="1:16" x14ac:dyDescent="0.3">
      <c r="A30">
        <v>29</v>
      </c>
      <c r="B30" t="s">
        <v>671</v>
      </c>
      <c r="C30" t="s">
        <v>103</v>
      </c>
      <c r="D30" t="s">
        <v>93</v>
      </c>
      <c r="E30">
        <v>4198.1400000000003</v>
      </c>
      <c r="F30">
        <v>4198.1400000000003</v>
      </c>
      <c r="G30">
        <v>4000</v>
      </c>
      <c r="H30" t="s">
        <v>690</v>
      </c>
      <c r="I30">
        <v>2026</v>
      </c>
      <c r="J30" t="s">
        <v>609</v>
      </c>
      <c r="K30" t="s">
        <v>551</v>
      </c>
      <c r="L30" t="s">
        <v>551</v>
      </c>
      <c r="M30" t="s">
        <v>551</v>
      </c>
      <c r="N30" s="73">
        <v>0</v>
      </c>
      <c r="O30" t="str">
        <f>IFERROR(VLOOKUP(Basef[[#This Row],[Regional]],Tabela11[],2,0),"Vago")</f>
        <v>Liliane</v>
      </c>
      <c r="P30" t="str">
        <f>Basef[[#This Row],[Regional]]</f>
        <v>São Luís</v>
      </c>
    </row>
    <row r="31" spans="1:16" x14ac:dyDescent="0.3">
      <c r="A31">
        <v>269</v>
      </c>
      <c r="B31" t="s">
        <v>402</v>
      </c>
      <c r="C31" t="s">
        <v>103</v>
      </c>
      <c r="D31" t="s">
        <v>3</v>
      </c>
      <c r="E31">
        <v>32242.39</v>
      </c>
      <c r="F31">
        <v>32242.39</v>
      </c>
      <c r="G31">
        <v>28000</v>
      </c>
      <c r="H31" t="s">
        <v>690</v>
      </c>
      <c r="I31">
        <v>2026</v>
      </c>
      <c r="J31" t="s">
        <v>609</v>
      </c>
      <c r="K31" t="s">
        <v>551</v>
      </c>
      <c r="L31" t="s">
        <v>551</v>
      </c>
      <c r="M31" t="s">
        <v>551</v>
      </c>
      <c r="N31" s="73">
        <v>1473.77</v>
      </c>
      <c r="O31" t="str">
        <f>IFERROR(VLOOKUP(Basef[[#This Row],[Regional]],Tabela11[],2,0),"Vago")</f>
        <v>Liliane</v>
      </c>
      <c r="P31" t="str">
        <f>Basef[[#This Row],[Regional]]</f>
        <v>São Luís</v>
      </c>
    </row>
    <row r="32" spans="1:16" x14ac:dyDescent="0.3">
      <c r="A32">
        <v>5</v>
      </c>
      <c r="B32" t="s">
        <v>632</v>
      </c>
      <c r="C32" t="s">
        <v>103</v>
      </c>
      <c r="D32" t="s">
        <v>93</v>
      </c>
      <c r="E32">
        <v>1916.79</v>
      </c>
      <c r="F32">
        <v>1916.79</v>
      </c>
      <c r="G32">
        <v>1000</v>
      </c>
      <c r="H32" t="s">
        <v>690</v>
      </c>
      <c r="I32">
        <v>2026</v>
      </c>
      <c r="J32" t="s">
        <v>357</v>
      </c>
      <c r="K32" t="s">
        <v>423</v>
      </c>
      <c r="L32" t="s">
        <v>423</v>
      </c>
      <c r="M32" t="s">
        <v>423</v>
      </c>
      <c r="N32" s="73">
        <v>0</v>
      </c>
      <c r="O32" t="str">
        <f>IFERROR(VLOOKUP(Basef[[#This Row],[Regional]],Tabela11[],2,0),"Vago")</f>
        <v>Liliane</v>
      </c>
      <c r="P32" t="str">
        <f>Basef[[#This Row],[Regional]]</f>
        <v>São Luís</v>
      </c>
    </row>
    <row r="33" spans="1:16" x14ac:dyDescent="0.3">
      <c r="A33">
        <v>410</v>
      </c>
      <c r="B33" t="s">
        <v>207</v>
      </c>
      <c r="C33" t="s">
        <v>103</v>
      </c>
      <c r="D33" t="s">
        <v>93</v>
      </c>
      <c r="E33">
        <v>1013.12</v>
      </c>
      <c r="F33">
        <v>1013.12</v>
      </c>
      <c r="G33">
        <v>1000</v>
      </c>
      <c r="H33" t="s">
        <v>690</v>
      </c>
      <c r="I33">
        <v>2026</v>
      </c>
      <c r="J33" t="s">
        <v>90</v>
      </c>
      <c r="K33" t="s">
        <v>90</v>
      </c>
      <c r="L33" t="s">
        <v>90</v>
      </c>
      <c r="M33" t="s">
        <v>90</v>
      </c>
      <c r="N33" s="73">
        <v>0</v>
      </c>
      <c r="O33" t="str">
        <f>IFERROR(VLOOKUP(Basef[[#This Row],[Regional]],Tabela11[],2,0),"Vago")</f>
        <v>Liliane</v>
      </c>
      <c r="P33" t="str">
        <f>Basef[[#This Row],[Regional]]</f>
        <v>São Luís</v>
      </c>
    </row>
    <row r="34" spans="1:16" x14ac:dyDescent="0.3">
      <c r="A34">
        <v>17</v>
      </c>
      <c r="B34" t="s">
        <v>660</v>
      </c>
      <c r="C34" t="s">
        <v>103</v>
      </c>
      <c r="D34" t="s">
        <v>92</v>
      </c>
      <c r="E34">
        <v>28241.33</v>
      </c>
      <c r="F34">
        <v>28241.33</v>
      </c>
      <c r="G34">
        <v>50000</v>
      </c>
      <c r="H34" t="s">
        <v>690</v>
      </c>
      <c r="I34">
        <v>2026</v>
      </c>
      <c r="J34" t="s">
        <v>90</v>
      </c>
      <c r="K34" t="s">
        <v>90</v>
      </c>
      <c r="L34" t="s">
        <v>90</v>
      </c>
      <c r="M34" t="s">
        <v>90</v>
      </c>
      <c r="N34" s="73">
        <v>0</v>
      </c>
      <c r="O34" t="str">
        <f>IFERROR(VLOOKUP(Basef[[#This Row],[Regional]],Tabela11[],2,0),"Vago")</f>
        <v>Liliane</v>
      </c>
      <c r="P34" t="str">
        <f>Basef[[#This Row],[Regional]]</f>
        <v>São Luís</v>
      </c>
    </row>
    <row r="35" spans="1:16" x14ac:dyDescent="0.3">
      <c r="A35">
        <v>20</v>
      </c>
      <c r="B35" t="s">
        <v>669</v>
      </c>
      <c r="C35" t="s">
        <v>103</v>
      </c>
      <c r="D35" t="s">
        <v>627</v>
      </c>
      <c r="E35">
        <v>4479.1499999999996</v>
      </c>
      <c r="F35">
        <v>4479.1499999999996</v>
      </c>
      <c r="G35">
        <v>10000</v>
      </c>
      <c r="H35" t="s">
        <v>690</v>
      </c>
      <c r="I35">
        <v>2026</v>
      </c>
      <c r="J35" t="s">
        <v>71</v>
      </c>
      <c r="K35" t="s">
        <v>596</v>
      </c>
      <c r="L35" t="s">
        <v>596</v>
      </c>
      <c r="M35" t="s">
        <v>596</v>
      </c>
      <c r="N35" s="73">
        <v>0</v>
      </c>
      <c r="O35" t="str">
        <f>IFERROR(VLOOKUP(Basef[[#This Row],[Regional]],Tabela11[],2,0),"Vago")</f>
        <v>Liliane</v>
      </c>
      <c r="P35" t="str">
        <f>Basef[[#This Row],[Regional]]</f>
        <v>São Luís</v>
      </c>
    </row>
    <row r="36" spans="1:16" x14ac:dyDescent="0.3">
      <c r="A36">
        <v>27</v>
      </c>
      <c r="B36" t="s">
        <v>688</v>
      </c>
      <c r="C36" t="s">
        <v>103</v>
      </c>
      <c r="D36" t="s">
        <v>627</v>
      </c>
      <c r="E36">
        <v>930.92</v>
      </c>
      <c r="F36">
        <v>930.92</v>
      </c>
      <c r="G36">
        <v>6000</v>
      </c>
      <c r="H36" t="s">
        <v>690</v>
      </c>
      <c r="I36">
        <v>2026</v>
      </c>
      <c r="J36" t="s">
        <v>357</v>
      </c>
      <c r="K36" t="s">
        <v>423</v>
      </c>
      <c r="L36" t="s">
        <v>423</v>
      </c>
      <c r="M36" t="s">
        <v>423</v>
      </c>
      <c r="N36" s="73">
        <v>0</v>
      </c>
      <c r="O36" t="str">
        <f>IFERROR(VLOOKUP(Basef[[#This Row],[Regional]],Tabela11[],2,0),"Vago")</f>
        <v>Liliane</v>
      </c>
      <c r="P36" t="str">
        <f>Basef[[#This Row],[Regional]]</f>
        <v>São Luís</v>
      </c>
    </row>
    <row r="37" spans="1:16" x14ac:dyDescent="0.3">
      <c r="A37">
        <v>12</v>
      </c>
      <c r="B37" t="s">
        <v>683</v>
      </c>
      <c r="C37" t="s">
        <v>103</v>
      </c>
      <c r="D37" t="s">
        <v>93</v>
      </c>
      <c r="E37">
        <v>1430.24</v>
      </c>
      <c r="F37">
        <v>1479.56</v>
      </c>
      <c r="G37">
        <v>1500</v>
      </c>
      <c r="H37" t="s">
        <v>690</v>
      </c>
      <c r="I37">
        <v>2026</v>
      </c>
      <c r="J37" t="s">
        <v>357</v>
      </c>
      <c r="K37" t="s">
        <v>423</v>
      </c>
      <c r="L37" t="s">
        <v>423</v>
      </c>
      <c r="M37" t="s">
        <v>423</v>
      </c>
      <c r="N37" s="73">
        <v>0</v>
      </c>
      <c r="O37" t="str">
        <f>IFERROR(VLOOKUP(Basef[[#This Row],[Regional]],Tabela11[],2,0),"Vago")</f>
        <v>Liliane</v>
      </c>
      <c r="P37" t="str">
        <f>Basef[[#This Row],[Regional]]</f>
        <v>São Luís</v>
      </c>
    </row>
    <row r="38" spans="1:16" x14ac:dyDescent="0.3">
      <c r="A38">
        <v>410</v>
      </c>
      <c r="B38" t="s">
        <v>207</v>
      </c>
      <c r="C38" t="s">
        <v>103</v>
      </c>
      <c r="D38" t="s">
        <v>92</v>
      </c>
      <c r="E38">
        <v>20828.14</v>
      </c>
      <c r="F38">
        <v>20828.14</v>
      </c>
      <c r="G38">
        <v>21000</v>
      </c>
      <c r="H38" t="s">
        <v>690</v>
      </c>
      <c r="I38">
        <v>2026</v>
      </c>
      <c r="J38" t="s">
        <v>90</v>
      </c>
      <c r="K38" t="s">
        <v>90</v>
      </c>
      <c r="L38" t="s">
        <v>90</v>
      </c>
      <c r="M38" t="s">
        <v>90</v>
      </c>
      <c r="N38" s="73">
        <v>0</v>
      </c>
      <c r="O38" t="str">
        <f>IFERROR(VLOOKUP(Basef[[#This Row],[Regional]],Tabela11[],2,0),"Vago")</f>
        <v>Liliane</v>
      </c>
      <c r="P38" t="str">
        <f>Basef[[#This Row],[Regional]]</f>
        <v>São Luís</v>
      </c>
    </row>
    <row r="39" spans="1:16" x14ac:dyDescent="0.3">
      <c r="A39">
        <v>2061</v>
      </c>
      <c r="B39" t="s">
        <v>634</v>
      </c>
      <c r="C39" t="s">
        <v>103</v>
      </c>
      <c r="D39" t="s">
        <v>93</v>
      </c>
      <c r="E39">
        <v>290.97000000000003</v>
      </c>
      <c r="F39">
        <v>290.97000000000003</v>
      </c>
      <c r="G39">
        <v>2000</v>
      </c>
      <c r="H39" t="s">
        <v>690</v>
      </c>
      <c r="I39">
        <v>2026</v>
      </c>
      <c r="J39" t="s">
        <v>71</v>
      </c>
      <c r="K39" t="s">
        <v>724</v>
      </c>
      <c r="L39" t="s">
        <v>724</v>
      </c>
      <c r="M39" t="s">
        <v>724</v>
      </c>
      <c r="N39" s="73">
        <v>0</v>
      </c>
      <c r="O39" t="str">
        <f>IFERROR(VLOOKUP(Basef[[#This Row],[Regional]],Tabela11[],2,0),"Vago")</f>
        <v>Liliane</v>
      </c>
      <c r="P39" t="str">
        <f>Basef[[#This Row],[Regional]]</f>
        <v>São Luís</v>
      </c>
    </row>
    <row r="40" spans="1:16" x14ac:dyDescent="0.3">
      <c r="A40">
        <v>11</v>
      </c>
      <c r="B40" t="s">
        <v>629</v>
      </c>
      <c r="C40" t="s">
        <v>103</v>
      </c>
      <c r="D40" t="s">
        <v>627</v>
      </c>
      <c r="E40">
        <v>616.41999999999996</v>
      </c>
      <c r="F40">
        <v>616.41999999999996</v>
      </c>
      <c r="G40">
        <v>4500</v>
      </c>
      <c r="H40" t="s">
        <v>690</v>
      </c>
      <c r="I40">
        <v>2026</v>
      </c>
      <c r="J40" t="s">
        <v>609</v>
      </c>
      <c r="K40" t="s">
        <v>551</v>
      </c>
      <c r="L40" t="s">
        <v>551</v>
      </c>
      <c r="M40" t="s">
        <v>551</v>
      </c>
      <c r="N40" s="73">
        <v>0</v>
      </c>
      <c r="O40" t="str">
        <f>IFERROR(VLOOKUP(Basef[[#This Row],[Regional]],Tabela11[],2,0),"Vago")</f>
        <v>Liliane</v>
      </c>
      <c r="P40" t="str">
        <f>Basef[[#This Row],[Regional]]</f>
        <v>São Luís</v>
      </c>
    </row>
    <row r="41" spans="1:16" x14ac:dyDescent="0.3">
      <c r="A41">
        <v>31</v>
      </c>
      <c r="B41" t="s">
        <v>643</v>
      </c>
      <c r="C41" t="s">
        <v>103</v>
      </c>
      <c r="D41" t="s">
        <v>3</v>
      </c>
      <c r="E41">
        <v>34124.019999999997</v>
      </c>
      <c r="F41">
        <v>34124.019999999997</v>
      </c>
      <c r="G41">
        <v>45000</v>
      </c>
      <c r="H41" t="s">
        <v>690</v>
      </c>
      <c r="I41">
        <v>2026</v>
      </c>
      <c r="J41" t="s">
        <v>609</v>
      </c>
      <c r="K41" t="s">
        <v>551</v>
      </c>
      <c r="L41" t="s">
        <v>551</v>
      </c>
      <c r="M41" t="s">
        <v>551</v>
      </c>
      <c r="N41" s="73">
        <v>1707.59</v>
      </c>
      <c r="O41" t="str">
        <f>IFERROR(VLOOKUP(Basef[[#This Row],[Regional]],Tabela11[],2,0),"Vago")</f>
        <v>Liliane</v>
      </c>
      <c r="P41" t="str">
        <f>Basef[[#This Row],[Regional]]</f>
        <v>São Luís</v>
      </c>
    </row>
    <row r="42" spans="1:16" x14ac:dyDescent="0.3">
      <c r="A42">
        <v>201</v>
      </c>
      <c r="B42" t="s">
        <v>657</v>
      </c>
      <c r="C42" t="s">
        <v>103</v>
      </c>
      <c r="D42" t="s">
        <v>93</v>
      </c>
      <c r="E42">
        <v>3946.77</v>
      </c>
      <c r="F42">
        <v>3946.77</v>
      </c>
      <c r="G42">
        <v>2000</v>
      </c>
      <c r="H42" t="s">
        <v>690</v>
      </c>
      <c r="I42">
        <v>2026</v>
      </c>
      <c r="J42" t="s">
        <v>90</v>
      </c>
      <c r="K42" t="s">
        <v>90</v>
      </c>
      <c r="L42" t="s">
        <v>90</v>
      </c>
      <c r="M42" t="s">
        <v>90</v>
      </c>
      <c r="N42" s="73">
        <v>0</v>
      </c>
      <c r="O42" t="str">
        <f>IFERROR(VLOOKUP(Basef[[#This Row],[Regional]],Tabela11[],2,0),"Vago")</f>
        <v>Liliane</v>
      </c>
      <c r="P42" t="str">
        <f>Basef[[#This Row],[Regional]]</f>
        <v>São Luís</v>
      </c>
    </row>
    <row r="43" spans="1:16" x14ac:dyDescent="0.3">
      <c r="A43">
        <v>200</v>
      </c>
      <c r="B43" t="s">
        <v>670</v>
      </c>
      <c r="C43" t="s">
        <v>103</v>
      </c>
      <c r="D43" t="s">
        <v>93</v>
      </c>
      <c r="E43">
        <v>3337.37</v>
      </c>
      <c r="F43">
        <v>3337.37</v>
      </c>
      <c r="G43">
        <v>3000</v>
      </c>
      <c r="H43" t="s">
        <v>690</v>
      </c>
      <c r="I43">
        <v>2026</v>
      </c>
      <c r="J43" t="s">
        <v>71</v>
      </c>
      <c r="K43" t="s">
        <v>596</v>
      </c>
      <c r="L43" t="s">
        <v>596</v>
      </c>
      <c r="M43" t="s">
        <v>596</v>
      </c>
      <c r="N43" s="73">
        <v>0</v>
      </c>
      <c r="O43" t="str">
        <f>IFERROR(VLOOKUP(Basef[[#This Row],[Regional]],Tabela11[],2,0),"Vago")</f>
        <v>Liliane</v>
      </c>
      <c r="P43" t="str">
        <f>Basef[[#This Row],[Regional]]</f>
        <v>São Luís</v>
      </c>
    </row>
    <row r="44" spans="1:16" x14ac:dyDescent="0.3">
      <c r="A44">
        <v>217</v>
      </c>
      <c r="B44" t="s">
        <v>630</v>
      </c>
      <c r="C44" t="s">
        <v>103</v>
      </c>
      <c r="D44" t="s">
        <v>3</v>
      </c>
      <c r="E44">
        <v>35651.24</v>
      </c>
      <c r="F44">
        <v>35651.24</v>
      </c>
      <c r="G44">
        <v>38000</v>
      </c>
      <c r="H44" t="s">
        <v>690</v>
      </c>
      <c r="I44">
        <v>2026</v>
      </c>
      <c r="J44" t="s">
        <v>357</v>
      </c>
      <c r="K44" t="s">
        <v>423</v>
      </c>
      <c r="L44" t="s">
        <v>423</v>
      </c>
      <c r="M44" t="s">
        <v>423</v>
      </c>
      <c r="N44" s="73">
        <v>585.58999999999992</v>
      </c>
      <c r="O44" t="str">
        <f>IFERROR(VLOOKUP(Basef[[#This Row],[Regional]],Tabela11[],2,0),"Vago")</f>
        <v>Liliane</v>
      </c>
      <c r="P44" t="str">
        <f>Basef[[#This Row],[Regional]]</f>
        <v>São Luís</v>
      </c>
    </row>
    <row r="45" spans="1:16" x14ac:dyDescent="0.3">
      <c r="A45">
        <v>415</v>
      </c>
      <c r="B45" t="s">
        <v>213</v>
      </c>
      <c r="C45" t="s">
        <v>103</v>
      </c>
      <c r="D45" t="s">
        <v>92</v>
      </c>
      <c r="E45">
        <v>15763.21</v>
      </c>
      <c r="F45">
        <v>15763.21</v>
      </c>
      <c r="G45">
        <v>12000</v>
      </c>
      <c r="H45" t="s">
        <v>690</v>
      </c>
      <c r="I45">
        <v>2026</v>
      </c>
      <c r="J45" t="s">
        <v>90</v>
      </c>
      <c r="K45" t="s">
        <v>90</v>
      </c>
      <c r="L45" t="s">
        <v>90</v>
      </c>
      <c r="M45" t="s">
        <v>90</v>
      </c>
      <c r="N45" s="73">
        <v>0</v>
      </c>
      <c r="O45" t="str">
        <f>IFERROR(VLOOKUP(Basef[[#This Row],[Regional]],Tabela11[],2,0),"Vago")</f>
        <v>Liliane</v>
      </c>
      <c r="P45" t="str">
        <f>Basef[[#This Row],[Regional]]</f>
        <v>São Luís</v>
      </c>
    </row>
    <row r="46" spans="1:16" x14ac:dyDescent="0.3">
      <c r="A46">
        <v>18</v>
      </c>
      <c r="B46" t="s">
        <v>687</v>
      </c>
      <c r="C46" t="s">
        <v>103</v>
      </c>
      <c r="D46" t="s">
        <v>92</v>
      </c>
      <c r="E46">
        <v>46702.85</v>
      </c>
      <c r="F46">
        <v>46702.85</v>
      </c>
      <c r="G46">
        <v>50000</v>
      </c>
      <c r="H46" t="s">
        <v>690</v>
      </c>
      <c r="I46">
        <v>2026</v>
      </c>
      <c r="J46" t="s">
        <v>90</v>
      </c>
      <c r="K46" t="s">
        <v>90</v>
      </c>
      <c r="L46" t="s">
        <v>90</v>
      </c>
      <c r="M46" t="s">
        <v>90</v>
      </c>
      <c r="N46" s="73">
        <v>0</v>
      </c>
      <c r="O46" t="str">
        <f>IFERROR(VLOOKUP(Basef[[#This Row],[Regional]],Tabela11[],2,0),"Vago")</f>
        <v>Liliane</v>
      </c>
      <c r="P46" t="str">
        <f>Basef[[#This Row],[Regional]]</f>
        <v>São Luís</v>
      </c>
    </row>
    <row r="47" spans="1:16" x14ac:dyDescent="0.3">
      <c r="A47">
        <v>200</v>
      </c>
      <c r="B47" t="s">
        <v>670</v>
      </c>
      <c r="C47" t="s">
        <v>103</v>
      </c>
      <c r="D47" t="s">
        <v>92</v>
      </c>
      <c r="E47">
        <v>56818.76</v>
      </c>
      <c r="F47">
        <v>56818.76</v>
      </c>
      <c r="G47">
        <v>57500</v>
      </c>
      <c r="H47" t="s">
        <v>690</v>
      </c>
      <c r="I47">
        <v>2026</v>
      </c>
      <c r="J47" t="s">
        <v>71</v>
      </c>
      <c r="K47" t="s">
        <v>596</v>
      </c>
      <c r="L47" t="s">
        <v>596</v>
      </c>
      <c r="M47" t="s">
        <v>596</v>
      </c>
      <c r="N47" s="73">
        <v>0</v>
      </c>
      <c r="O47" t="str">
        <f>IFERROR(VLOOKUP(Basef[[#This Row],[Regional]],Tabela11[],2,0),"Vago")</f>
        <v>Liliane</v>
      </c>
      <c r="P47" t="str">
        <f>Basef[[#This Row],[Regional]]</f>
        <v>São Luís</v>
      </c>
    </row>
    <row r="48" spans="1:16" x14ac:dyDescent="0.3">
      <c r="A48">
        <v>255</v>
      </c>
      <c r="B48" t="s">
        <v>639</v>
      </c>
      <c r="C48" t="s">
        <v>103</v>
      </c>
      <c r="D48" t="s">
        <v>3</v>
      </c>
      <c r="E48">
        <v>52476.13</v>
      </c>
      <c r="F48">
        <v>52476.13</v>
      </c>
      <c r="G48">
        <v>42000</v>
      </c>
      <c r="H48" t="s">
        <v>690</v>
      </c>
      <c r="I48">
        <v>2026</v>
      </c>
      <c r="J48" t="s">
        <v>357</v>
      </c>
      <c r="K48" t="s">
        <v>423</v>
      </c>
      <c r="L48" t="s">
        <v>423</v>
      </c>
      <c r="M48" t="s">
        <v>423</v>
      </c>
      <c r="N48" s="73">
        <v>539.08999999999992</v>
      </c>
      <c r="O48" t="str">
        <f>IFERROR(VLOOKUP(Basef[[#This Row],[Regional]],Tabela11[],2,0),"Vago")</f>
        <v>Liliane</v>
      </c>
      <c r="P48" t="str">
        <f>Basef[[#This Row],[Regional]]</f>
        <v>São Luís</v>
      </c>
    </row>
    <row r="49" spans="1:16" x14ac:dyDescent="0.3">
      <c r="A49">
        <v>425</v>
      </c>
      <c r="B49" t="s">
        <v>217</v>
      </c>
      <c r="C49" t="s">
        <v>103</v>
      </c>
      <c r="D49" t="s">
        <v>92</v>
      </c>
      <c r="E49">
        <v>25935.14</v>
      </c>
      <c r="F49">
        <v>25935.14</v>
      </c>
      <c r="G49">
        <v>26000</v>
      </c>
      <c r="H49" t="s">
        <v>690</v>
      </c>
      <c r="I49">
        <v>2026</v>
      </c>
      <c r="J49" t="s">
        <v>609</v>
      </c>
      <c r="K49" t="s">
        <v>551</v>
      </c>
      <c r="L49" t="s">
        <v>551</v>
      </c>
      <c r="M49" t="s">
        <v>551</v>
      </c>
      <c r="N49" s="73">
        <v>0</v>
      </c>
      <c r="O49" t="str">
        <f>IFERROR(VLOOKUP(Basef[[#This Row],[Regional]],Tabela11[],2,0),"Vago")</f>
        <v>Liliane</v>
      </c>
      <c r="P49" t="str">
        <f>Basef[[#This Row],[Regional]]</f>
        <v>São Luís</v>
      </c>
    </row>
    <row r="50" spans="1:16" x14ac:dyDescent="0.3">
      <c r="A50">
        <v>2061</v>
      </c>
      <c r="B50" t="s">
        <v>634</v>
      </c>
      <c r="C50" t="s">
        <v>103</v>
      </c>
      <c r="D50" t="s">
        <v>3</v>
      </c>
      <c r="E50">
        <v>34325.300000000003</v>
      </c>
      <c r="F50">
        <v>34325.300000000003</v>
      </c>
      <c r="G50">
        <v>38000</v>
      </c>
      <c r="H50" t="s">
        <v>690</v>
      </c>
      <c r="I50">
        <v>2026</v>
      </c>
      <c r="J50" t="s">
        <v>71</v>
      </c>
      <c r="K50" t="s">
        <v>724</v>
      </c>
      <c r="L50" t="s">
        <v>724</v>
      </c>
      <c r="M50" t="s">
        <v>724</v>
      </c>
      <c r="N50" s="73">
        <v>84.77</v>
      </c>
      <c r="O50" t="str">
        <f>IFERROR(VLOOKUP(Basef[[#This Row],[Regional]],Tabela11[],2,0),"Vago")</f>
        <v>Liliane</v>
      </c>
      <c r="P50" t="str">
        <f>Basef[[#This Row],[Regional]]</f>
        <v>São Luís</v>
      </c>
    </row>
    <row r="51" spans="1:16" x14ac:dyDescent="0.3">
      <c r="A51">
        <v>5</v>
      </c>
      <c r="B51" t="s">
        <v>632</v>
      </c>
      <c r="C51" t="s">
        <v>103</v>
      </c>
      <c r="D51" t="s">
        <v>627</v>
      </c>
      <c r="E51">
        <v>614.82000000000005</v>
      </c>
      <c r="F51">
        <v>614.82000000000005</v>
      </c>
      <c r="G51">
        <v>3500</v>
      </c>
      <c r="H51" t="s">
        <v>690</v>
      </c>
      <c r="I51">
        <v>2026</v>
      </c>
      <c r="J51" t="s">
        <v>357</v>
      </c>
      <c r="K51" t="s">
        <v>423</v>
      </c>
      <c r="L51" t="s">
        <v>423</v>
      </c>
      <c r="M51" t="s">
        <v>423</v>
      </c>
      <c r="N51" s="73">
        <v>0</v>
      </c>
      <c r="O51" t="str">
        <f>IFERROR(VLOOKUP(Basef[[#This Row],[Regional]],Tabela11[],2,0),"Vago")</f>
        <v>Liliane</v>
      </c>
      <c r="P51" t="str">
        <f>Basef[[#This Row],[Regional]]</f>
        <v>São Luís</v>
      </c>
    </row>
    <row r="52" spans="1:16" x14ac:dyDescent="0.3">
      <c r="A52">
        <v>30</v>
      </c>
      <c r="B52" t="s">
        <v>646</v>
      </c>
      <c r="C52" t="s">
        <v>103</v>
      </c>
      <c r="D52" t="s">
        <v>3</v>
      </c>
      <c r="E52">
        <v>46725.67</v>
      </c>
      <c r="F52">
        <v>46725.67</v>
      </c>
      <c r="G52">
        <v>50000</v>
      </c>
      <c r="H52" t="s">
        <v>690</v>
      </c>
      <c r="I52">
        <v>2026</v>
      </c>
      <c r="J52" t="s">
        <v>549</v>
      </c>
      <c r="K52" t="s">
        <v>724</v>
      </c>
      <c r="L52" t="s">
        <v>724</v>
      </c>
      <c r="M52" t="s">
        <v>724</v>
      </c>
      <c r="N52" s="73">
        <v>2999.01</v>
      </c>
      <c r="O52" t="str">
        <f>IFERROR(VLOOKUP(Basef[[#This Row],[Regional]],Tabela11[],2,0),"Vago")</f>
        <v>Liliane</v>
      </c>
      <c r="P52" t="str">
        <f>Basef[[#This Row],[Regional]]</f>
        <v>São Luís</v>
      </c>
    </row>
    <row r="53" spans="1:16" x14ac:dyDescent="0.3">
      <c r="A53">
        <v>34</v>
      </c>
      <c r="B53" t="s">
        <v>637</v>
      </c>
      <c r="C53" t="s">
        <v>103</v>
      </c>
      <c r="D53" t="s">
        <v>3</v>
      </c>
      <c r="E53">
        <v>150997.38</v>
      </c>
      <c r="F53">
        <v>150997.38</v>
      </c>
      <c r="G53">
        <v>139500</v>
      </c>
      <c r="H53" t="s">
        <v>690</v>
      </c>
      <c r="I53">
        <v>2026</v>
      </c>
      <c r="J53" t="s">
        <v>84</v>
      </c>
      <c r="K53" t="s">
        <v>84</v>
      </c>
      <c r="L53" t="s">
        <v>84</v>
      </c>
      <c r="M53" t="s">
        <v>84</v>
      </c>
      <c r="N53" s="73">
        <v>1129.42</v>
      </c>
      <c r="O53" t="str">
        <f>IFERROR(VLOOKUP(Basef[[#This Row],[Regional]],Tabela11[],2,0),"Vago")</f>
        <v>Liliane</v>
      </c>
      <c r="P53" t="str">
        <f>Basef[[#This Row],[Regional]]</f>
        <v>São Luís</v>
      </c>
    </row>
    <row r="54" spans="1:16" x14ac:dyDescent="0.3">
      <c r="A54">
        <v>200</v>
      </c>
      <c r="B54" t="s">
        <v>670</v>
      </c>
      <c r="C54" t="s">
        <v>103</v>
      </c>
      <c r="D54" t="s">
        <v>3</v>
      </c>
      <c r="E54">
        <v>62091.06</v>
      </c>
      <c r="F54">
        <v>62091.06</v>
      </c>
      <c r="G54">
        <v>64000</v>
      </c>
      <c r="H54" t="s">
        <v>690</v>
      </c>
      <c r="I54">
        <v>2026</v>
      </c>
      <c r="J54" t="s">
        <v>71</v>
      </c>
      <c r="K54" t="s">
        <v>596</v>
      </c>
      <c r="L54" t="s">
        <v>596</v>
      </c>
      <c r="M54" t="s">
        <v>596</v>
      </c>
      <c r="N54" s="73">
        <v>1269.56</v>
      </c>
      <c r="O54" t="str">
        <f>IFERROR(VLOOKUP(Basef[[#This Row],[Regional]],Tabela11[],2,0),"Vago")</f>
        <v>Liliane</v>
      </c>
      <c r="P54" t="str">
        <f>Basef[[#This Row],[Regional]]</f>
        <v>São Luís</v>
      </c>
    </row>
    <row r="55" spans="1:16" x14ac:dyDescent="0.3">
      <c r="A55">
        <v>27</v>
      </c>
      <c r="B55" t="s">
        <v>688</v>
      </c>
      <c r="C55" t="s">
        <v>103</v>
      </c>
      <c r="D55" t="s">
        <v>3</v>
      </c>
      <c r="E55">
        <v>49909.16</v>
      </c>
      <c r="F55">
        <v>49909.16</v>
      </c>
      <c r="G55">
        <v>75000</v>
      </c>
      <c r="H55" t="s">
        <v>690</v>
      </c>
      <c r="I55">
        <v>2026</v>
      </c>
      <c r="J55" t="s">
        <v>357</v>
      </c>
      <c r="K55" t="s">
        <v>423</v>
      </c>
      <c r="L55" t="s">
        <v>423</v>
      </c>
      <c r="M55" t="s">
        <v>423</v>
      </c>
      <c r="N55" s="73">
        <v>68.77</v>
      </c>
      <c r="O55" t="str">
        <f>IFERROR(VLOOKUP(Basef[[#This Row],[Regional]],Tabela11[],2,0),"Vago")</f>
        <v>Liliane</v>
      </c>
      <c r="P55" t="str">
        <f>Basef[[#This Row],[Regional]]</f>
        <v>São Luís</v>
      </c>
    </row>
    <row r="56" spans="1:16" x14ac:dyDescent="0.3">
      <c r="A56">
        <v>31</v>
      </c>
      <c r="B56" t="s">
        <v>643</v>
      </c>
      <c r="C56" t="s">
        <v>103</v>
      </c>
      <c r="D56" t="s">
        <v>93</v>
      </c>
      <c r="E56">
        <v>2807.01</v>
      </c>
      <c r="F56">
        <v>2807.01</v>
      </c>
      <c r="G56">
        <v>1500</v>
      </c>
      <c r="H56" t="s">
        <v>690</v>
      </c>
      <c r="I56">
        <v>2026</v>
      </c>
      <c r="J56" t="s">
        <v>609</v>
      </c>
      <c r="K56" t="s">
        <v>551</v>
      </c>
      <c r="L56" t="s">
        <v>551</v>
      </c>
      <c r="M56" t="s">
        <v>551</v>
      </c>
      <c r="N56" s="73">
        <v>0</v>
      </c>
      <c r="O56" t="str">
        <f>IFERROR(VLOOKUP(Basef[[#This Row],[Regional]],Tabela11[],2,0),"Vago")</f>
        <v>Liliane</v>
      </c>
      <c r="P56" t="str">
        <f>Basef[[#This Row],[Regional]]</f>
        <v>São Luís</v>
      </c>
    </row>
    <row r="57" spans="1:16" x14ac:dyDescent="0.3">
      <c r="A57">
        <v>34</v>
      </c>
      <c r="B57" t="s">
        <v>637</v>
      </c>
      <c r="C57" t="s">
        <v>103</v>
      </c>
      <c r="D57" t="s">
        <v>93</v>
      </c>
      <c r="E57">
        <v>11901.69</v>
      </c>
      <c r="F57">
        <v>11901.69</v>
      </c>
      <c r="G57">
        <v>25000</v>
      </c>
      <c r="H57" t="s">
        <v>690</v>
      </c>
      <c r="I57">
        <v>2026</v>
      </c>
      <c r="J57" t="s">
        <v>84</v>
      </c>
      <c r="K57" t="s">
        <v>84</v>
      </c>
      <c r="L57" t="s">
        <v>84</v>
      </c>
      <c r="M57" t="s">
        <v>84</v>
      </c>
      <c r="N57" s="73">
        <v>0</v>
      </c>
      <c r="O57" t="str">
        <f>IFERROR(VLOOKUP(Basef[[#This Row],[Regional]],Tabela11[],2,0),"Vago")</f>
        <v>Liliane</v>
      </c>
      <c r="P57" t="str">
        <f>Basef[[#This Row],[Regional]]</f>
        <v>São Luís</v>
      </c>
    </row>
    <row r="58" spans="1:16" x14ac:dyDescent="0.3">
      <c r="A58">
        <v>5</v>
      </c>
      <c r="B58" t="s">
        <v>632</v>
      </c>
      <c r="C58" t="s">
        <v>103</v>
      </c>
      <c r="D58" t="s">
        <v>92</v>
      </c>
      <c r="E58">
        <v>33193.949999999997</v>
      </c>
      <c r="F58">
        <v>33193.949999999997</v>
      </c>
      <c r="G58">
        <v>45000</v>
      </c>
      <c r="H58" t="s">
        <v>690</v>
      </c>
      <c r="I58">
        <v>2026</v>
      </c>
      <c r="J58" t="s">
        <v>357</v>
      </c>
      <c r="K58" t="s">
        <v>423</v>
      </c>
      <c r="L58" t="s">
        <v>423</v>
      </c>
      <c r="M58" t="s">
        <v>423</v>
      </c>
      <c r="N58" s="73">
        <v>0</v>
      </c>
      <c r="O58" t="str">
        <f>IFERROR(VLOOKUP(Basef[[#This Row],[Regional]],Tabela11[],2,0),"Vago")</f>
        <v>Liliane</v>
      </c>
      <c r="P58" t="str">
        <f>Basef[[#This Row],[Regional]]</f>
        <v>São Luís</v>
      </c>
    </row>
    <row r="59" spans="1:16" x14ac:dyDescent="0.3">
      <c r="A59">
        <v>7</v>
      </c>
      <c r="B59" t="s">
        <v>628</v>
      </c>
      <c r="C59" t="s">
        <v>103</v>
      </c>
      <c r="D59" t="s">
        <v>92</v>
      </c>
      <c r="E59">
        <v>118558.65</v>
      </c>
      <c r="F59">
        <v>118558.65</v>
      </c>
      <c r="G59">
        <v>166500</v>
      </c>
      <c r="H59" t="s">
        <v>690</v>
      </c>
      <c r="I59">
        <v>2026</v>
      </c>
      <c r="J59" t="s">
        <v>356</v>
      </c>
      <c r="K59" t="s">
        <v>356</v>
      </c>
      <c r="L59" t="s">
        <v>356</v>
      </c>
      <c r="M59" t="s">
        <v>356</v>
      </c>
      <c r="N59" s="73">
        <v>0</v>
      </c>
      <c r="O59" t="str">
        <f>IFERROR(VLOOKUP(Basef[[#This Row],[Regional]],Tabela11[],2,0),"Vago")</f>
        <v>Liliane</v>
      </c>
      <c r="P59" t="str">
        <f>Basef[[#This Row],[Regional]]</f>
        <v>São Luís</v>
      </c>
    </row>
    <row r="60" spans="1:16" x14ac:dyDescent="0.3">
      <c r="A60">
        <v>232</v>
      </c>
      <c r="B60" t="s">
        <v>675</v>
      </c>
      <c r="C60" t="s">
        <v>103</v>
      </c>
      <c r="D60" t="s">
        <v>92</v>
      </c>
      <c r="E60">
        <v>24787.040000000001</v>
      </c>
      <c r="F60">
        <v>24787.040000000001</v>
      </c>
      <c r="G60">
        <v>30000</v>
      </c>
      <c r="H60" t="s">
        <v>690</v>
      </c>
      <c r="I60">
        <v>2026</v>
      </c>
      <c r="J60" t="s">
        <v>357</v>
      </c>
      <c r="K60" t="s">
        <v>423</v>
      </c>
      <c r="L60" t="s">
        <v>423</v>
      </c>
      <c r="M60" t="s">
        <v>423</v>
      </c>
      <c r="N60" s="73">
        <v>0</v>
      </c>
      <c r="O60" t="str">
        <f>IFERROR(VLOOKUP(Basef[[#This Row],[Regional]],Tabela11[],2,0),"Vago")</f>
        <v>Liliane</v>
      </c>
      <c r="P60" t="str">
        <f>Basef[[#This Row],[Regional]]</f>
        <v>São Luís</v>
      </c>
    </row>
    <row r="61" spans="1:16" x14ac:dyDescent="0.3">
      <c r="A61">
        <v>502</v>
      </c>
      <c r="B61" t="s">
        <v>678</v>
      </c>
      <c r="C61" t="s">
        <v>103</v>
      </c>
      <c r="D61" t="s">
        <v>92</v>
      </c>
      <c r="E61">
        <v>23737.599999999999</v>
      </c>
      <c r="F61">
        <v>23737.599999999999</v>
      </c>
      <c r="G61">
        <v>22000</v>
      </c>
      <c r="H61" t="s">
        <v>690</v>
      </c>
      <c r="I61">
        <v>2026</v>
      </c>
      <c r="J61" t="s">
        <v>90</v>
      </c>
      <c r="K61" t="s">
        <v>90</v>
      </c>
      <c r="L61" t="s">
        <v>90</v>
      </c>
      <c r="M61" t="s">
        <v>90</v>
      </c>
      <c r="N61" s="73">
        <v>0</v>
      </c>
      <c r="O61" t="str">
        <f>IFERROR(VLOOKUP(Basef[[#This Row],[Regional]],Tabela11[],2,0),"Vago")</f>
        <v>Liliane</v>
      </c>
      <c r="P61" t="str">
        <f>Basef[[#This Row],[Regional]]</f>
        <v>São Luís</v>
      </c>
    </row>
    <row r="62" spans="1:16" x14ac:dyDescent="0.3">
      <c r="A62">
        <v>34</v>
      </c>
      <c r="B62" t="s">
        <v>637</v>
      </c>
      <c r="C62" t="s">
        <v>103</v>
      </c>
      <c r="D62" t="s">
        <v>627</v>
      </c>
      <c r="E62">
        <v>1077.1300000000001</v>
      </c>
      <c r="F62">
        <v>1077.1300000000001</v>
      </c>
      <c r="G62">
        <v>10000</v>
      </c>
      <c r="H62" t="s">
        <v>690</v>
      </c>
      <c r="I62">
        <v>2026</v>
      </c>
      <c r="J62" t="s">
        <v>84</v>
      </c>
      <c r="K62" t="s">
        <v>84</v>
      </c>
      <c r="L62" t="s">
        <v>84</v>
      </c>
      <c r="M62" t="s">
        <v>84</v>
      </c>
      <c r="N62" s="73">
        <v>0</v>
      </c>
      <c r="O62" t="str">
        <f>IFERROR(VLOOKUP(Basef[[#This Row],[Regional]],Tabela11[],2,0),"Vago")</f>
        <v>Liliane</v>
      </c>
      <c r="P62" t="str">
        <f>Basef[[#This Row],[Regional]]</f>
        <v>São Luís</v>
      </c>
    </row>
    <row r="63" spans="1:16" x14ac:dyDescent="0.3">
      <c r="A63">
        <v>93</v>
      </c>
      <c r="B63" t="s">
        <v>655</v>
      </c>
      <c r="C63" t="s">
        <v>103</v>
      </c>
      <c r="D63" t="s">
        <v>3</v>
      </c>
      <c r="E63">
        <v>33599.82</v>
      </c>
      <c r="F63">
        <v>33599.82</v>
      </c>
      <c r="G63">
        <v>25000</v>
      </c>
      <c r="H63" t="s">
        <v>690</v>
      </c>
      <c r="I63">
        <v>2026</v>
      </c>
      <c r="J63" t="s">
        <v>609</v>
      </c>
      <c r="K63" t="s">
        <v>551</v>
      </c>
      <c r="L63" t="s">
        <v>551</v>
      </c>
      <c r="M63" t="s">
        <v>551</v>
      </c>
      <c r="N63" s="73">
        <v>950.24</v>
      </c>
      <c r="O63" t="str">
        <f>IFERROR(VLOOKUP(Basef[[#This Row],[Regional]],Tabela11[],2,0),"Vago")</f>
        <v>Liliane</v>
      </c>
      <c r="P63" t="str">
        <f>Basef[[#This Row],[Regional]]</f>
        <v>São Luís</v>
      </c>
    </row>
    <row r="64" spans="1:16" x14ac:dyDescent="0.3">
      <c r="A64">
        <v>18</v>
      </c>
      <c r="B64" t="s">
        <v>687</v>
      </c>
      <c r="C64" t="s">
        <v>103</v>
      </c>
      <c r="D64" t="s">
        <v>627</v>
      </c>
      <c r="E64">
        <v>2102.38</v>
      </c>
      <c r="F64">
        <v>2102.38</v>
      </c>
      <c r="G64">
        <v>5000</v>
      </c>
      <c r="H64" t="s">
        <v>690</v>
      </c>
      <c r="I64">
        <v>2026</v>
      </c>
      <c r="J64" t="s">
        <v>90</v>
      </c>
      <c r="K64" t="s">
        <v>90</v>
      </c>
      <c r="L64" t="s">
        <v>90</v>
      </c>
      <c r="M64" t="s">
        <v>90</v>
      </c>
      <c r="N64" s="73">
        <v>0</v>
      </c>
      <c r="O64" t="str">
        <f>IFERROR(VLOOKUP(Basef[[#This Row],[Regional]],Tabela11[],2,0),"Vago")</f>
        <v>Liliane</v>
      </c>
      <c r="P64" t="str">
        <f>Basef[[#This Row],[Regional]]</f>
        <v>São Luís</v>
      </c>
    </row>
    <row r="65" spans="1:16" x14ac:dyDescent="0.3">
      <c r="A65">
        <v>93</v>
      </c>
      <c r="B65" t="s">
        <v>655</v>
      </c>
      <c r="C65" t="s">
        <v>103</v>
      </c>
      <c r="D65" t="s">
        <v>92</v>
      </c>
      <c r="E65">
        <v>29466.44</v>
      </c>
      <c r="F65">
        <v>29466.44</v>
      </c>
      <c r="G65">
        <v>52500</v>
      </c>
      <c r="H65" t="s">
        <v>690</v>
      </c>
      <c r="I65">
        <v>2026</v>
      </c>
      <c r="J65" t="s">
        <v>609</v>
      </c>
      <c r="K65" t="s">
        <v>551</v>
      </c>
      <c r="L65" t="s">
        <v>551</v>
      </c>
      <c r="M65" t="s">
        <v>551</v>
      </c>
      <c r="N65" s="73">
        <v>0</v>
      </c>
      <c r="O65" t="str">
        <f>IFERROR(VLOOKUP(Basef[[#This Row],[Regional]],Tabela11[],2,0),"Vago")</f>
        <v>Liliane</v>
      </c>
      <c r="P65" t="str">
        <f>Basef[[#This Row],[Regional]]</f>
        <v>São Luís</v>
      </c>
    </row>
    <row r="66" spans="1:16" x14ac:dyDescent="0.3">
      <c r="A66">
        <v>412</v>
      </c>
      <c r="B66" t="s">
        <v>211</v>
      </c>
      <c r="C66" t="s">
        <v>103</v>
      </c>
      <c r="D66" t="s">
        <v>92</v>
      </c>
      <c r="E66">
        <v>8573.85</v>
      </c>
      <c r="F66">
        <v>8573.85</v>
      </c>
      <c r="G66">
        <v>9000</v>
      </c>
      <c r="H66" t="s">
        <v>690</v>
      </c>
      <c r="I66">
        <v>2026</v>
      </c>
      <c r="J66" t="s">
        <v>357</v>
      </c>
      <c r="K66" t="s">
        <v>423</v>
      </c>
      <c r="L66" t="s">
        <v>423</v>
      </c>
      <c r="M66" t="s">
        <v>423</v>
      </c>
      <c r="N66" s="73">
        <v>0</v>
      </c>
      <c r="O66" t="str">
        <f>IFERROR(VLOOKUP(Basef[[#This Row],[Regional]],Tabela11[],2,0),"Vago")</f>
        <v>Liliane</v>
      </c>
      <c r="P66" t="str">
        <f>Basef[[#This Row],[Regional]]</f>
        <v>São Luís</v>
      </c>
    </row>
    <row r="67" spans="1:16" x14ac:dyDescent="0.3">
      <c r="A67">
        <v>477</v>
      </c>
      <c r="B67" t="s">
        <v>641</v>
      </c>
      <c r="C67" t="s">
        <v>103</v>
      </c>
      <c r="D67" t="s">
        <v>93</v>
      </c>
      <c r="E67">
        <v>5570.21</v>
      </c>
      <c r="F67">
        <v>5570.21</v>
      </c>
      <c r="G67">
        <v>500</v>
      </c>
      <c r="H67" t="s">
        <v>690</v>
      </c>
      <c r="I67">
        <v>2026</v>
      </c>
      <c r="J67" t="s">
        <v>71</v>
      </c>
      <c r="K67" t="s">
        <v>596</v>
      </c>
      <c r="L67" t="s">
        <v>596</v>
      </c>
      <c r="M67" t="s">
        <v>596</v>
      </c>
      <c r="N67" s="73">
        <v>0</v>
      </c>
      <c r="O67" t="str">
        <f>IFERROR(VLOOKUP(Basef[[#This Row],[Regional]],Tabela11[],2,0),"Vago")</f>
        <v>Liliane</v>
      </c>
      <c r="P67" t="str">
        <f>Basef[[#This Row],[Regional]]</f>
        <v>São Luís</v>
      </c>
    </row>
    <row r="68" spans="1:16" x14ac:dyDescent="0.3">
      <c r="A68">
        <v>20</v>
      </c>
      <c r="B68" t="s">
        <v>669</v>
      </c>
      <c r="C68" t="s">
        <v>103</v>
      </c>
      <c r="D68" t="s">
        <v>93</v>
      </c>
      <c r="E68">
        <v>3292.38</v>
      </c>
      <c r="F68">
        <v>3292.38</v>
      </c>
      <c r="G68">
        <v>5500</v>
      </c>
      <c r="H68" t="s">
        <v>690</v>
      </c>
      <c r="I68">
        <v>2026</v>
      </c>
      <c r="J68" t="s">
        <v>71</v>
      </c>
      <c r="K68" t="s">
        <v>596</v>
      </c>
      <c r="L68" t="s">
        <v>596</v>
      </c>
      <c r="M68" t="s">
        <v>596</v>
      </c>
      <c r="N68" s="73">
        <v>0</v>
      </c>
      <c r="O68" t="str">
        <f>IFERROR(VLOOKUP(Basef[[#This Row],[Regional]],Tabela11[],2,0),"Vago")</f>
        <v>Liliane</v>
      </c>
      <c r="P68" t="str">
        <f>Basef[[#This Row],[Regional]]</f>
        <v>São Luís</v>
      </c>
    </row>
    <row r="69" spans="1:16" x14ac:dyDescent="0.3">
      <c r="A69">
        <v>20</v>
      </c>
      <c r="B69" t="s">
        <v>669</v>
      </c>
      <c r="C69" t="s">
        <v>103</v>
      </c>
      <c r="D69" t="s">
        <v>92</v>
      </c>
      <c r="E69">
        <v>38888.06</v>
      </c>
      <c r="F69">
        <v>38888.06</v>
      </c>
      <c r="G69">
        <v>64500</v>
      </c>
      <c r="H69" t="s">
        <v>690</v>
      </c>
      <c r="I69">
        <v>2026</v>
      </c>
      <c r="J69" t="s">
        <v>71</v>
      </c>
      <c r="K69" t="s">
        <v>596</v>
      </c>
      <c r="L69" t="s">
        <v>596</v>
      </c>
      <c r="M69" t="s">
        <v>596</v>
      </c>
      <c r="N69" s="73">
        <v>0</v>
      </c>
      <c r="O69" t="str">
        <f>IFERROR(VLOOKUP(Basef[[#This Row],[Regional]],Tabela11[],2,0),"Vago")</f>
        <v>Liliane</v>
      </c>
      <c r="P69" t="str">
        <f>Basef[[#This Row],[Regional]]</f>
        <v>São Luís</v>
      </c>
    </row>
    <row r="70" spans="1:16" x14ac:dyDescent="0.3">
      <c r="A70">
        <v>23</v>
      </c>
      <c r="B70" t="s">
        <v>645</v>
      </c>
      <c r="C70" t="s">
        <v>103</v>
      </c>
      <c r="D70" t="s">
        <v>627</v>
      </c>
      <c r="E70">
        <v>622.44000000000005</v>
      </c>
      <c r="F70">
        <v>622.44000000000005</v>
      </c>
      <c r="G70">
        <v>4500</v>
      </c>
      <c r="H70" t="s">
        <v>690</v>
      </c>
      <c r="I70">
        <v>2026</v>
      </c>
      <c r="J70" t="s">
        <v>549</v>
      </c>
      <c r="K70" t="s">
        <v>724</v>
      </c>
      <c r="L70" t="s">
        <v>724</v>
      </c>
      <c r="M70" t="s">
        <v>724</v>
      </c>
      <c r="N70" s="73">
        <v>0</v>
      </c>
      <c r="O70" t="str">
        <f>IFERROR(VLOOKUP(Basef[[#This Row],[Regional]],Tabela11[],2,0),"Vago")</f>
        <v>Liliane</v>
      </c>
      <c r="P70" t="str">
        <f>Basef[[#This Row],[Regional]]</f>
        <v>São Luís</v>
      </c>
    </row>
    <row r="71" spans="1:16" x14ac:dyDescent="0.3">
      <c r="A71">
        <v>218</v>
      </c>
      <c r="B71" t="s">
        <v>635</v>
      </c>
      <c r="C71" t="s">
        <v>103</v>
      </c>
      <c r="D71" t="s">
        <v>3</v>
      </c>
      <c r="E71">
        <v>29576.45</v>
      </c>
      <c r="F71">
        <v>29576.45</v>
      </c>
      <c r="G71">
        <v>38000</v>
      </c>
      <c r="H71" t="s">
        <v>690</v>
      </c>
      <c r="I71">
        <v>2026</v>
      </c>
      <c r="J71" t="s">
        <v>90</v>
      </c>
      <c r="K71" t="s">
        <v>90</v>
      </c>
      <c r="L71" t="s">
        <v>90</v>
      </c>
      <c r="M71" t="s">
        <v>90</v>
      </c>
      <c r="N71" s="73">
        <v>919.90000000000009</v>
      </c>
      <c r="O71" t="str">
        <f>IFERROR(VLOOKUP(Basef[[#This Row],[Regional]],Tabela11[],2,0),"Vago")</f>
        <v>Liliane</v>
      </c>
      <c r="P71" t="str">
        <f>Basef[[#This Row],[Regional]]</f>
        <v>São Luís</v>
      </c>
    </row>
    <row r="72" spans="1:16" x14ac:dyDescent="0.3">
      <c r="A72">
        <v>218</v>
      </c>
      <c r="B72" t="s">
        <v>635</v>
      </c>
      <c r="C72" t="s">
        <v>103</v>
      </c>
      <c r="D72" t="s">
        <v>627</v>
      </c>
      <c r="E72">
        <v>182.18</v>
      </c>
      <c r="F72">
        <v>182.18</v>
      </c>
      <c r="G72">
        <v>3500</v>
      </c>
      <c r="H72" t="s">
        <v>690</v>
      </c>
      <c r="I72">
        <v>2026</v>
      </c>
      <c r="J72" t="s">
        <v>90</v>
      </c>
      <c r="K72" t="s">
        <v>90</v>
      </c>
      <c r="L72" t="s">
        <v>90</v>
      </c>
      <c r="M72" t="s">
        <v>90</v>
      </c>
      <c r="N72" s="73">
        <v>0</v>
      </c>
      <c r="O72" t="str">
        <f>IFERROR(VLOOKUP(Basef[[#This Row],[Regional]],Tabela11[],2,0),"Vago")</f>
        <v>Liliane</v>
      </c>
      <c r="P72" t="str">
        <f>Basef[[#This Row],[Regional]]</f>
        <v>São Luís</v>
      </c>
    </row>
    <row r="73" spans="1:16" x14ac:dyDescent="0.3">
      <c r="A73">
        <v>232</v>
      </c>
      <c r="B73" t="s">
        <v>675</v>
      </c>
      <c r="C73" t="s">
        <v>103</v>
      </c>
      <c r="D73" t="s">
        <v>3</v>
      </c>
      <c r="E73">
        <v>80921.05</v>
      </c>
      <c r="F73">
        <v>80921.05</v>
      </c>
      <c r="G73">
        <v>100000</v>
      </c>
      <c r="H73" t="s">
        <v>690</v>
      </c>
      <c r="I73">
        <v>2026</v>
      </c>
      <c r="J73" t="s">
        <v>357</v>
      </c>
      <c r="K73" t="s">
        <v>423</v>
      </c>
      <c r="L73" t="s">
        <v>423</v>
      </c>
      <c r="M73" t="s">
        <v>423</v>
      </c>
      <c r="N73" s="73">
        <v>219.88</v>
      </c>
      <c r="O73" t="str">
        <f>IFERROR(VLOOKUP(Basef[[#This Row],[Regional]],Tabela11[],2,0),"Vago")</f>
        <v>Liliane</v>
      </c>
      <c r="P73" t="str">
        <f>Basef[[#This Row],[Regional]]</f>
        <v>São Luís</v>
      </c>
    </row>
    <row r="74" spans="1:16" x14ac:dyDescent="0.3">
      <c r="A74">
        <v>255</v>
      </c>
      <c r="B74" t="s">
        <v>639</v>
      </c>
      <c r="C74" t="s">
        <v>103</v>
      </c>
      <c r="D74" t="s">
        <v>92</v>
      </c>
      <c r="E74">
        <v>48632.21</v>
      </c>
      <c r="F74">
        <v>48632.21</v>
      </c>
      <c r="G74">
        <v>71000</v>
      </c>
      <c r="H74" t="s">
        <v>690</v>
      </c>
      <c r="I74">
        <v>2026</v>
      </c>
      <c r="J74" t="s">
        <v>357</v>
      </c>
      <c r="K74" t="s">
        <v>423</v>
      </c>
      <c r="L74" t="s">
        <v>423</v>
      </c>
      <c r="M74" t="s">
        <v>423</v>
      </c>
      <c r="N74" s="73">
        <v>0</v>
      </c>
      <c r="O74" t="str">
        <f>IFERROR(VLOOKUP(Basef[[#This Row],[Regional]],Tabela11[],2,0),"Vago")</f>
        <v>Liliane</v>
      </c>
      <c r="P74" t="str">
        <f>Basef[[#This Row],[Regional]]</f>
        <v>São Luís</v>
      </c>
    </row>
    <row r="75" spans="1:16" x14ac:dyDescent="0.3">
      <c r="A75">
        <v>502</v>
      </c>
      <c r="B75" t="s">
        <v>678</v>
      </c>
      <c r="C75" t="s">
        <v>103</v>
      </c>
      <c r="D75" t="s">
        <v>93</v>
      </c>
      <c r="E75">
        <v>854.76</v>
      </c>
      <c r="F75">
        <v>854.76</v>
      </c>
      <c r="G75">
        <v>1000</v>
      </c>
      <c r="H75" t="s">
        <v>690</v>
      </c>
      <c r="I75">
        <v>2026</v>
      </c>
      <c r="J75" t="s">
        <v>90</v>
      </c>
      <c r="K75" t="s">
        <v>90</v>
      </c>
      <c r="L75" t="s">
        <v>90</v>
      </c>
      <c r="M75" t="s">
        <v>90</v>
      </c>
      <c r="N75" s="73">
        <v>0</v>
      </c>
      <c r="O75" t="str">
        <f>IFERROR(VLOOKUP(Basef[[#This Row],[Regional]],Tabela11[],2,0),"Vago")</f>
        <v>Liliane</v>
      </c>
      <c r="P75" t="str">
        <f>Basef[[#This Row],[Regional]]</f>
        <v>São Luís</v>
      </c>
    </row>
    <row r="76" spans="1:16" x14ac:dyDescent="0.3">
      <c r="A76">
        <v>412</v>
      </c>
      <c r="B76" t="s">
        <v>211</v>
      </c>
      <c r="C76" t="s">
        <v>103</v>
      </c>
      <c r="D76" t="s">
        <v>93</v>
      </c>
      <c r="E76">
        <v>307.64999999999998</v>
      </c>
      <c r="F76">
        <v>354.98</v>
      </c>
      <c r="G76">
        <v>500</v>
      </c>
      <c r="H76" t="s">
        <v>690</v>
      </c>
      <c r="I76">
        <v>2026</v>
      </c>
      <c r="J76" t="s">
        <v>357</v>
      </c>
      <c r="K76" t="s">
        <v>423</v>
      </c>
      <c r="L76" t="s">
        <v>423</v>
      </c>
      <c r="M76" t="s">
        <v>423</v>
      </c>
      <c r="N76" s="73">
        <v>0</v>
      </c>
      <c r="O76" t="str">
        <f>IFERROR(VLOOKUP(Basef[[#This Row],[Regional]],Tabela11[],2,0),"Vago")</f>
        <v>Liliane</v>
      </c>
      <c r="P76" t="str">
        <f>Basef[[#This Row],[Regional]]</f>
        <v>São Luís</v>
      </c>
    </row>
    <row r="77" spans="1:16" x14ac:dyDescent="0.3">
      <c r="A77">
        <v>29</v>
      </c>
      <c r="B77" t="s">
        <v>671</v>
      </c>
      <c r="C77" t="s">
        <v>103</v>
      </c>
      <c r="D77" t="s">
        <v>627</v>
      </c>
      <c r="E77">
        <v>5802.16</v>
      </c>
      <c r="F77">
        <v>5802.16</v>
      </c>
      <c r="G77">
        <v>3000</v>
      </c>
      <c r="H77" t="s">
        <v>690</v>
      </c>
      <c r="I77">
        <v>2026</v>
      </c>
      <c r="J77" t="s">
        <v>609</v>
      </c>
      <c r="K77" t="s">
        <v>551</v>
      </c>
      <c r="L77" t="s">
        <v>551</v>
      </c>
      <c r="M77" t="s">
        <v>551</v>
      </c>
      <c r="N77" s="73">
        <v>0</v>
      </c>
      <c r="O77" t="str">
        <f>IFERROR(VLOOKUP(Basef[[#This Row],[Regional]],Tabela11[],2,0),"Vago")</f>
        <v>Liliane</v>
      </c>
      <c r="P77" t="str">
        <f>Basef[[#This Row],[Regional]]</f>
        <v>São Luís</v>
      </c>
    </row>
    <row r="78" spans="1:16" x14ac:dyDescent="0.3">
      <c r="A78">
        <v>29</v>
      </c>
      <c r="B78" t="s">
        <v>671</v>
      </c>
      <c r="C78" t="s">
        <v>103</v>
      </c>
      <c r="D78" t="s">
        <v>3</v>
      </c>
      <c r="E78">
        <v>34139.71</v>
      </c>
      <c r="F78">
        <v>34139.71</v>
      </c>
      <c r="G78">
        <v>27000</v>
      </c>
      <c r="H78" t="s">
        <v>690</v>
      </c>
      <c r="I78">
        <v>2026</v>
      </c>
      <c r="J78" t="s">
        <v>609</v>
      </c>
      <c r="K78" t="s">
        <v>551</v>
      </c>
      <c r="L78" t="s">
        <v>551</v>
      </c>
      <c r="M78" t="s">
        <v>551</v>
      </c>
      <c r="N78" s="73">
        <v>656.39</v>
      </c>
      <c r="O78" t="str">
        <f>IFERROR(VLOOKUP(Basef[[#This Row],[Regional]],Tabela11[],2,0),"Vago")</f>
        <v>Liliane</v>
      </c>
      <c r="P78" t="str">
        <f>Basef[[#This Row],[Regional]]</f>
        <v>São Luís</v>
      </c>
    </row>
    <row r="79" spans="1:16" x14ac:dyDescent="0.3">
      <c r="A79">
        <v>554</v>
      </c>
      <c r="B79" t="s">
        <v>662</v>
      </c>
      <c r="C79" t="s">
        <v>103</v>
      </c>
      <c r="D79" t="s">
        <v>3</v>
      </c>
      <c r="E79">
        <v>65948.73</v>
      </c>
      <c r="F79">
        <v>65948.73</v>
      </c>
      <c r="G79">
        <v>85000</v>
      </c>
      <c r="H79" t="s">
        <v>690</v>
      </c>
      <c r="I79">
        <v>2026</v>
      </c>
      <c r="J79" t="s">
        <v>609</v>
      </c>
      <c r="K79" t="s">
        <v>551</v>
      </c>
      <c r="L79" t="s">
        <v>551</v>
      </c>
      <c r="M79" t="s">
        <v>551</v>
      </c>
      <c r="N79" s="73">
        <v>2319.94</v>
      </c>
      <c r="O79" t="str">
        <f>IFERROR(VLOOKUP(Basef[[#This Row],[Regional]],Tabela11[],2,0),"Vago")</f>
        <v>Liliane</v>
      </c>
      <c r="P79" t="str">
        <f>Basef[[#This Row],[Regional]]</f>
        <v>São Luís</v>
      </c>
    </row>
    <row r="80" spans="1:16" x14ac:dyDescent="0.3">
      <c r="A80">
        <v>96</v>
      </c>
      <c r="B80" t="s">
        <v>661</v>
      </c>
      <c r="C80" t="s">
        <v>103</v>
      </c>
      <c r="D80" t="s">
        <v>93</v>
      </c>
      <c r="E80">
        <v>4221.9799999999996</v>
      </c>
      <c r="F80">
        <v>4221.9799999999996</v>
      </c>
      <c r="G80">
        <v>4000</v>
      </c>
      <c r="H80" t="s">
        <v>690</v>
      </c>
      <c r="I80">
        <v>2026</v>
      </c>
      <c r="J80" t="s">
        <v>549</v>
      </c>
      <c r="K80" t="s">
        <v>724</v>
      </c>
      <c r="L80" t="s">
        <v>724</v>
      </c>
      <c r="M80" t="s">
        <v>724</v>
      </c>
      <c r="N80" s="73">
        <v>0</v>
      </c>
      <c r="O80" t="str">
        <f>IFERROR(VLOOKUP(Basef[[#This Row],[Regional]],Tabela11[],2,0),"Vago")</f>
        <v>Liliane</v>
      </c>
      <c r="P80" t="str">
        <f>Basef[[#This Row],[Regional]]</f>
        <v>São Luís</v>
      </c>
    </row>
    <row r="81" spans="1:16" x14ac:dyDescent="0.3">
      <c r="A81">
        <v>269</v>
      </c>
      <c r="B81" t="s">
        <v>402</v>
      </c>
      <c r="C81" t="s">
        <v>103</v>
      </c>
      <c r="D81" t="s">
        <v>93</v>
      </c>
      <c r="E81">
        <v>4208.92</v>
      </c>
      <c r="F81">
        <v>4208.92</v>
      </c>
      <c r="G81">
        <v>4000</v>
      </c>
      <c r="H81" t="s">
        <v>690</v>
      </c>
      <c r="I81">
        <v>2026</v>
      </c>
      <c r="J81" t="s">
        <v>609</v>
      </c>
      <c r="K81" t="s">
        <v>551</v>
      </c>
      <c r="L81" t="s">
        <v>551</v>
      </c>
      <c r="M81" t="s">
        <v>551</v>
      </c>
      <c r="N81" s="73">
        <v>0</v>
      </c>
      <c r="O81" t="str">
        <f>IFERROR(VLOOKUP(Basef[[#This Row],[Regional]],Tabela11[],2,0),"Vago")</f>
        <v>Liliane</v>
      </c>
      <c r="P81" t="str">
        <f>Basef[[#This Row],[Regional]]</f>
        <v>São Luís</v>
      </c>
    </row>
    <row r="82" spans="1:16" x14ac:dyDescent="0.3">
      <c r="A82">
        <v>409</v>
      </c>
      <c r="B82" t="s">
        <v>205</v>
      </c>
      <c r="C82" t="s">
        <v>103</v>
      </c>
      <c r="D82" t="s">
        <v>627</v>
      </c>
      <c r="E82">
        <v>791.67</v>
      </c>
      <c r="F82">
        <v>791.67</v>
      </c>
      <c r="G82">
        <v>500</v>
      </c>
      <c r="H82" t="s">
        <v>690</v>
      </c>
      <c r="I82">
        <v>2026</v>
      </c>
      <c r="J82" t="s">
        <v>609</v>
      </c>
      <c r="K82" t="s">
        <v>551</v>
      </c>
      <c r="L82" t="s">
        <v>551</v>
      </c>
      <c r="M82" t="s">
        <v>551</v>
      </c>
      <c r="N82" s="73">
        <v>0</v>
      </c>
      <c r="O82" t="str">
        <f>IFERROR(VLOOKUP(Basef[[#This Row],[Regional]],Tabela11[],2,0),"Vago")</f>
        <v>Liliane</v>
      </c>
      <c r="P82" t="str">
        <f>Basef[[#This Row],[Regional]]</f>
        <v>São Luís</v>
      </c>
    </row>
    <row r="83" spans="1:16" x14ac:dyDescent="0.3">
      <c r="A83">
        <v>23</v>
      </c>
      <c r="B83" t="s">
        <v>645</v>
      </c>
      <c r="C83" t="s">
        <v>103</v>
      </c>
      <c r="D83" t="s">
        <v>92</v>
      </c>
      <c r="E83">
        <v>53113.93</v>
      </c>
      <c r="F83">
        <v>53113.93</v>
      </c>
      <c r="G83">
        <v>61000</v>
      </c>
      <c r="H83" t="s">
        <v>690</v>
      </c>
      <c r="I83">
        <v>2026</v>
      </c>
      <c r="J83" t="s">
        <v>549</v>
      </c>
      <c r="K83" t="s">
        <v>724</v>
      </c>
      <c r="L83" t="s">
        <v>724</v>
      </c>
      <c r="M83" t="s">
        <v>724</v>
      </c>
      <c r="N83" s="73">
        <v>0</v>
      </c>
      <c r="O83" t="str">
        <f>IFERROR(VLOOKUP(Basef[[#This Row],[Regional]],Tabela11[],2,0),"Vago")</f>
        <v>Liliane</v>
      </c>
      <c r="P83" t="str">
        <f>Basef[[#This Row],[Regional]]</f>
        <v>São Luís</v>
      </c>
    </row>
    <row r="84" spans="1:16" x14ac:dyDescent="0.3">
      <c r="A84">
        <v>16</v>
      </c>
      <c r="B84" t="s">
        <v>665</v>
      </c>
      <c r="C84" t="s">
        <v>103</v>
      </c>
      <c r="D84" t="s">
        <v>627</v>
      </c>
      <c r="E84">
        <v>1506.77</v>
      </c>
      <c r="F84">
        <v>1506.77</v>
      </c>
      <c r="G84">
        <v>10000</v>
      </c>
      <c r="H84" t="s">
        <v>690</v>
      </c>
      <c r="I84">
        <v>2026</v>
      </c>
      <c r="J84" t="s">
        <v>71</v>
      </c>
      <c r="K84" t="s">
        <v>596</v>
      </c>
      <c r="L84" t="s">
        <v>596</v>
      </c>
      <c r="M84" t="s">
        <v>596</v>
      </c>
      <c r="N84" s="73">
        <v>0</v>
      </c>
      <c r="O84" t="str">
        <f>IFERROR(VLOOKUP(Basef[[#This Row],[Regional]],Tabela11[],2,0),"Vago")</f>
        <v>Liliane</v>
      </c>
      <c r="P84" t="str">
        <f>Basef[[#This Row],[Regional]]</f>
        <v>São Luís</v>
      </c>
    </row>
    <row r="85" spans="1:16" x14ac:dyDescent="0.3">
      <c r="A85">
        <v>30</v>
      </c>
      <c r="B85" t="s">
        <v>646</v>
      </c>
      <c r="C85" t="s">
        <v>103</v>
      </c>
      <c r="D85" t="s">
        <v>92</v>
      </c>
      <c r="E85">
        <v>52307.519999999997</v>
      </c>
      <c r="F85">
        <v>52307.519999999997</v>
      </c>
      <c r="G85">
        <v>50000</v>
      </c>
      <c r="H85" t="s">
        <v>690</v>
      </c>
      <c r="I85">
        <v>2026</v>
      </c>
      <c r="J85" t="s">
        <v>549</v>
      </c>
      <c r="K85" t="s">
        <v>724</v>
      </c>
      <c r="L85" t="s">
        <v>724</v>
      </c>
      <c r="M85" t="s">
        <v>724</v>
      </c>
      <c r="N85" s="73">
        <v>0</v>
      </c>
      <c r="O85" t="str">
        <f>IFERROR(VLOOKUP(Basef[[#This Row],[Regional]],Tabela11[],2,0),"Vago")</f>
        <v>Liliane</v>
      </c>
      <c r="P85" t="str">
        <f>Basef[[#This Row],[Regional]]</f>
        <v>São Luís</v>
      </c>
    </row>
    <row r="86" spans="1:16" x14ac:dyDescent="0.3">
      <c r="A86">
        <v>17</v>
      </c>
      <c r="B86" t="s">
        <v>660</v>
      </c>
      <c r="C86" t="s">
        <v>103</v>
      </c>
      <c r="D86" t="s">
        <v>3</v>
      </c>
      <c r="E86">
        <v>31555.13</v>
      </c>
      <c r="F86">
        <v>31555.13</v>
      </c>
      <c r="G86">
        <v>28000</v>
      </c>
      <c r="H86" t="s">
        <v>690</v>
      </c>
      <c r="I86">
        <v>2026</v>
      </c>
      <c r="J86" t="s">
        <v>90</v>
      </c>
      <c r="K86" t="s">
        <v>90</v>
      </c>
      <c r="L86" t="s">
        <v>90</v>
      </c>
      <c r="M86" t="s">
        <v>90</v>
      </c>
      <c r="N86" s="73">
        <v>1167.72</v>
      </c>
      <c r="O86" t="str">
        <f>IFERROR(VLOOKUP(Basef[[#This Row],[Regional]],Tabela11[],2,0),"Vago")</f>
        <v>Liliane</v>
      </c>
      <c r="P86" t="str">
        <f>Basef[[#This Row],[Regional]]</f>
        <v>São Luís</v>
      </c>
    </row>
    <row r="87" spans="1:16" x14ac:dyDescent="0.3">
      <c r="A87">
        <v>412</v>
      </c>
      <c r="B87" t="s">
        <v>211</v>
      </c>
      <c r="C87" t="s">
        <v>103</v>
      </c>
      <c r="D87" t="s">
        <v>3</v>
      </c>
      <c r="E87">
        <v>12042.35</v>
      </c>
      <c r="F87">
        <v>12042.35</v>
      </c>
      <c r="G87">
        <v>11000</v>
      </c>
      <c r="H87" t="s">
        <v>690</v>
      </c>
      <c r="I87">
        <v>2026</v>
      </c>
      <c r="J87" t="s">
        <v>357</v>
      </c>
      <c r="K87" t="s">
        <v>423</v>
      </c>
      <c r="L87" t="s">
        <v>423</v>
      </c>
      <c r="M87" t="s">
        <v>423</v>
      </c>
      <c r="N87" s="73">
        <v>68.300000000000011</v>
      </c>
      <c r="O87" t="str">
        <f>IFERROR(VLOOKUP(Basef[[#This Row],[Regional]],Tabela11[],2,0),"Vago")</f>
        <v>Liliane</v>
      </c>
      <c r="P87" t="str">
        <f>Basef[[#This Row],[Regional]]</f>
        <v>São Luís</v>
      </c>
    </row>
    <row r="88" spans="1:16" x14ac:dyDescent="0.3">
      <c r="A88">
        <v>425</v>
      </c>
      <c r="B88" t="s">
        <v>217</v>
      </c>
      <c r="C88" t="s">
        <v>103</v>
      </c>
      <c r="D88" t="s">
        <v>3</v>
      </c>
      <c r="E88">
        <v>18699.57</v>
      </c>
      <c r="F88">
        <v>18699.57</v>
      </c>
      <c r="G88">
        <v>16000</v>
      </c>
      <c r="H88" t="s">
        <v>690</v>
      </c>
      <c r="I88">
        <v>2026</v>
      </c>
      <c r="J88" t="s">
        <v>609</v>
      </c>
      <c r="K88" t="s">
        <v>551</v>
      </c>
      <c r="L88" t="s">
        <v>551</v>
      </c>
      <c r="M88" t="s">
        <v>551</v>
      </c>
      <c r="N88" s="73">
        <v>373.58</v>
      </c>
      <c r="O88" t="str">
        <f>IFERROR(VLOOKUP(Basef[[#This Row],[Regional]],Tabela11[],2,0),"Vago")</f>
        <v>Liliane</v>
      </c>
      <c r="P88" t="str">
        <f>Basef[[#This Row],[Regional]]</f>
        <v>São Luís</v>
      </c>
    </row>
    <row r="89" spans="1:16" x14ac:dyDescent="0.3">
      <c r="A89">
        <v>12</v>
      </c>
      <c r="B89" t="s">
        <v>683</v>
      </c>
      <c r="C89" t="s">
        <v>103</v>
      </c>
      <c r="D89" t="s">
        <v>3</v>
      </c>
      <c r="E89">
        <v>25881.18</v>
      </c>
      <c r="F89">
        <v>25881.18</v>
      </c>
      <c r="G89">
        <v>40000</v>
      </c>
      <c r="H89" t="s">
        <v>690</v>
      </c>
      <c r="I89">
        <v>2026</v>
      </c>
      <c r="J89" t="s">
        <v>357</v>
      </c>
      <c r="K89" t="s">
        <v>423</v>
      </c>
      <c r="L89" t="s">
        <v>423</v>
      </c>
      <c r="M89" t="s">
        <v>423</v>
      </c>
      <c r="N89" s="73">
        <v>0</v>
      </c>
      <c r="O89" t="str">
        <f>IFERROR(VLOOKUP(Basef[[#This Row],[Regional]],Tabela11[],2,0),"Vago")</f>
        <v>Liliane</v>
      </c>
      <c r="P89" t="str">
        <f>Basef[[#This Row],[Regional]]</f>
        <v>São Luís</v>
      </c>
    </row>
    <row r="90" spans="1:16" x14ac:dyDescent="0.3">
      <c r="A90">
        <v>19</v>
      </c>
      <c r="B90" t="s">
        <v>684</v>
      </c>
      <c r="C90" t="s">
        <v>103</v>
      </c>
      <c r="D90" t="s">
        <v>92</v>
      </c>
      <c r="E90">
        <v>28019.58</v>
      </c>
      <c r="F90">
        <v>28019.58</v>
      </c>
      <c r="G90">
        <v>29000</v>
      </c>
      <c r="H90" t="s">
        <v>690</v>
      </c>
      <c r="I90">
        <v>2026</v>
      </c>
      <c r="J90" t="s">
        <v>71</v>
      </c>
      <c r="K90" t="s">
        <v>596</v>
      </c>
      <c r="L90" t="s">
        <v>596</v>
      </c>
      <c r="M90" t="s">
        <v>596</v>
      </c>
      <c r="N90" s="73">
        <v>0</v>
      </c>
      <c r="O90" t="str">
        <f>IFERROR(VLOOKUP(Basef[[#This Row],[Regional]],Tabela11[],2,0),"Vago")</f>
        <v>Liliane</v>
      </c>
      <c r="P90" t="str">
        <f>Basef[[#This Row],[Regional]]</f>
        <v>São Luís</v>
      </c>
    </row>
    <row r="91" spans="1:16" x14ac:dyDescent="0.3">
      <c r="A91">
        <v>269</v>
      </c>
      <c r="B91" t="s">
        <v>402</v>
      </c>
      <c r="C91" t="s">
        <v>103</v>
      </c>
      <c r="D91" t="s">
        <v>627</v>
      </c>
      <c r="E91">
        <v>8307.34</v>
      </c>
      <c r="F91">
        <v>8307.34</v>
      </c>
      <c r="G91">
        <v>2500</v>
      </c>
      <c r="H91" t="s">
        <v>690</v>
      </c>
      <c r="I91">
        <v>2026</v>
      </c>
      <c r="J91" t="s">
        <v>609</v>
      </c>
      <c r="K91" t="s">
        <v>551</v>
      </c>
      <c r="L91" t="s">
        <v>551</v>
      </c>
      <c r="M91" t="s">
        <v>551</v>
      </c>
      <c r="N91" s="73">
        <v>0</v>
      </c>
      <c r="O91" t="str">
        <f>IFERROR(VLOOKUP(Basef[[#This Row],[Regional]],Tabela11[],2,0),"Vago")</f>
        <v>Liliane</v>
      </c>
      <c r="P91" t="str">
        <f>Basef[[#This Row],[Regional]]</f>
        <v>São Luís</v>
      </c>
    </row>
    <row r="92" spans="1:16" x14ac:dyDescent="0.3">
      <c r="A92">
        <v>19</v>
      </c>
      <c r="B92" t="s">
        <v>684</v>
      </c>
      <c r="C92" t="s">
        <v>103</v>
      </c>
      <c r="D92" t="s">
        <v>93</v>
      </c>
      <c r="E92">
        <v>3489.6</v>
      </c>
      <c r="F92">
        <v>3489.6</v>
      </c>
      <c r="G92">
        <v>2500</v>
      </c>
      <c r="H92" t="s">
        <v>690</v>
      </c>
      <c r="I92">
        <v>2026</v>
      </c>
      <c r="J92" t="s">
        <v>71</v>
      </c>
      <c r="K92" t="s">
        <v>596</v>
      </c>
      <c r="L92" t="s">
        <v>596</v>
      </c>
      <c r="M92" t="s">
        <v>596</v>
      </c>
      <c r="N92" s="73">
        <v>0</v>
      </c>
      <c r="O92" t="str">
        <f>IFERROR(VLOOKUP(Basef[[#This Row],[Regional]],Tabela11[],2,0),"Vago")</f>
        <v>Liliane</v>
      </c>
      <c r="P92" t="str">
        <f>Basef[[#This Row],[Regional]]</f>
        <v>São Luís</v>
      </c>
    </row>
    <row r="93" spans="1:16" x14ac:dyDescent="0.3">
      <c r="A93">
        <v>27</v>
      </c>
      <c r="B93" t="s">
        <v>688</v>
      </c>
      <c r="C93" t="s">
        <v>103</v>
      </c>
      <c r="D93" t="s">
        <v>93</v>
      </c>
      <c r="E93">
        <v>4342.92</v>
      </c>
      <c r="F93">
        <v>4342.92</v>
      </c>
      <c r="G93">
        <v>3000</v>
      </c>
      <c r="H93" t="s">
        <v>690</v>
      </c>
      <c r="I93">
        <v>2026</v>
      </c>
      <c r="J93" t="s">
        <v>357</v>
      </c>
      <c r="K93" t="s">
        <v>423</v>
      </c>
      <c r="L93" t="s">
        <v>423</v>
      </c>
      <c r="M93" t="s">
        <v>423</v>
      </c>
      <c r="N93" s="73">
        <v>0</v>
      </c>
      <c r="O93" t="str">
        <f>IFERROR(VLOOKUP(Basef[[#This Row],[Regional]],Tabela11[],2,0),"Vago")</f>
        <v>Liliane</v>
      </c>
      <c r="P93" t="str">
        <f>Basef[[#This Row],[Regional]]</f>
        <v>São Luís</v>
      </c>
    </row>
    <row r="94" spans="1:16" x14ac:dyDescent="0.3">
      <c r="A94">
        <v>554</v>
      </c>
      <c r="B94" t="s">
        <v>662</v>
      </c>
      <c r="C94" t="s">
        <v>103</v>
      </c>
      <c r="D94" t="s">
        <v>627</v>
      </c>
      <c r="E94">
        <v>84.86</v>
      </c>
      <c r="F94">
        <v>84.86</v>
      </c>
      <c r="G94">
        <v>3000</v>
      </c>
      <c r="H94" t="s">
        <v>690</v>
      </c>
      <c r="I94">
        <v>2026</v>
      </c>
      <c r="J94" t="s">
        <v>609</v>
      </c>
      <c r="K94" t="s">
        <v>551</v>
      </c>
      <c r="L94" t="s">
        <v>551</v>
      </c>
      <c r="M94" t="s">
        <v>551</v>
      </c>
      <c r="N94" s="73">
        <v>0</v>
      </c>
      <c r="O94" t="str">
        <f>IFERROR(VLOOKUP(Basef[[#This Row],[Regional]],Tabela11[],2,0),"Vago")</f>
        <v>Liliane</v>
      </c>
      <c r="P94" t="str">
        <f>Basef[[#This Row],[Regional]]</f>
        <v>São Luís</v>
      </c>
    </row>
    <row r="95" spans="1:16" x14ac:dyDescent="0.3">
      <c r="A95">
        <v>8</v>
      </c>
      <c r="B95" t="s">
        <v>672</v>
      </c>
      <c r="C95" t="s">
        <v>103</v>
      </c>
      <c r="D95" t="s">
        <v>93</v>
      </c>
      <c r="E95">
        <v>2152.06</v>
      </c>
      <c r="F95">
        <v>2152.06</v>
      </c>
      <c r="G95">
        <v>2000</v>
      </c>
      <c r="H95" t="s">
        <v>690</v>
      </c>
      <c r="I95">
        <v>2026</v>
      </c>
      <c r="J95" t="s">
        <v>357</v>
      </c>
      <c r="K95" t="s">
        <v>423</v>
      </c>
      <c r="L95" t="s">
        <v>423</v>
      </c>
      <c r="M95" t="s">
        <v>423</v>
      </c>
      <c r="N95" s="73">
        <v>0</v>
      </c>
      <c r="O95" t="str">
        <f>IFERROR(VLOOKUP(Basef[[#This Row],[Regional]],Tabela11[],2,0),"Vago")</f>
        <v>Liliane</v>
      </c>
      <c r="P95" t="str">
        <f>Basef[[#This Row],[Regional]]</f>
        <v>São Luís</v>
      </c>
    </row>
    <row r="96" spans="1:16" x14ac:dyDescent="0.3">
      <c r="A96">
        <v>19</v>
      </c>
      <c r="B96" t="s">
        <v>684</v>
      </c>
      <c r="C96" t="s">
        <v>103</v>
      </c>
      <c r="D96" t="s">
        <v>627</v>
      </c>
      <c r="E96">
        <v>363.38</v>
      </c>
      <c r="F96">
        <v>363.38</v>
      </c>
      <c r="G96">
        <v>5000</v>
      </c>
      <c r="H96" t="s">
        <v>690</v>
      </c>
      <c r="I96">
        <v>2026</v>
      </c>
      <c r="J96" t="s">
        <v>71</v>
      </c>
      <c r="K96" t="s">
        <v>596</v>
      </c>
      <c r="L96" t="s">
        <v>596</v>
      </c>
      <c r="M96" t="s">
        <v>596</v>
      </c>
      <c r="N96" s="73">
        <v>0</v>
      </c>
      <c r="O96" t="str">
        <f>IFERROR(VLOOKUP(Basef[[#This Row],[Regional]],Tabela11[],2,0),"Vago")</f>
        <v>Liliane</v>
      </c>
      <c r="P96" t="str">
        <f>Basef[[#This Row],[Regional]]</f>
        <v>São Luís</v>
      </c>
    </row>
    <row r="97" spans="1:16" x14ac:dyDescent="0.3">
      <c r="A97">
        <v>201</v>
      </c>
      <c r="B97" t="s">
        <v>657</v>
      </c>
      <c r="C97" t="s">
        <v>103</v>
      </c>
      <c r="D97" t="s">
        <v>627</v>
      </c>
      <c r="E97">
        <v>1086.1400000000001</v>
      </c>
      <c r="F97">
        <v>1086.1400000000001</v>
      </c>
      <c r="G97">
        <v>5000</v>
      </c>
      <c r="H97" t="s">
        <v>690</v>
      </c>
      <c r="I97">
        <v>2026</v>
      </c>
      <c r="J97" t="s">
        <v>90</v>
      </c>
      <c r="K97" t="s">
        <v>90</v>
      </c>
      <c r="L97" t="s">
        <v>90</v>
      </c>
      <c r="M97" t="s">
        <v>90</v>
      </c>
      <c r="N97" s="73">
        <v>0</v>
      </c>
      <c r="O97" t="str">
        <f>IFERROR(VLOOKUP(Basef[[#This Row],[Regional]],Tabela11[],2,0),"Vago")</f>
        <v>Liliane</v>
      </c>
      <c r="P97" t="str">
        <f>Basef[[#This Row],[Regional]]</f>
        <v>São Luís</v>
      </c>
    </row>
    <row r="98" spans="1:16" x14ac:dyDescent="0.3">
      <c r="A98">
        <v>18</v>
      </c>
      <c r="B98" t="s">
        <v>687</v>
      </c>
      <c r="C98" t="s">
        <v>103</v>
      </c>
      <c r="D98" t="s">
        <v>3</v>
      </c>
      <c r="E98">
        <v>51192.66</v>
      </c>
      <c r="F98">
        <v>51192.66</v>
      </c>
      <c r="G98">
        <v>57000</v>
      </c>
      <c r="H98" t="s">
        <v>690</v>
      </c>
      <c r="I98">
        <v>2026</v>
      </c>
      <c r="J98" t="s">
        <v>90</v>
      </c>
      <c r="K98" t="s">
        <v>90</v>
      </c>
      <c r="L98" t="s">
        <v>90</v>
      </c>
      <c r="M98" t="s">
        <v>90</v>
      </c>
      <c r="N98" s="73">
        <v>749.31999999999994</v>
      </c>
      <c r="O98" t="str">
        <f>IFERROR(VLOOKUP(Basef[[#This Row],[Regional]],Tabela11[],2,0),"Vago")</f>
        <v>Liliane</v>
      </c>
      <c r="P98" t="str">
        <f>Basef[[#This Row],[Regional]]</f>
        <v>São Luís</v>
      </c>
    </row>
    <row r="99" spans="1:16" x14ac:dyDescent="0.3">
      <c r="A99">
        <v>30</v>
      </c>
      <c r="B99" t="s">
        <v>646</v>
      </c>
      <c r="C99" t="s">
        <v>103</v>
      </c>
      <c r="D99" t="s">
        <v>627</v>
      </c>
      <c r="E99">
        <v>2815.53</v>
      </c>
      <c r="F99">
        <v>2815.53</v>
      </c>
      <c r="G99">
        <v>5500</v>
      </c>
      <c r="H99" t="s">
        <v>690</v>
      </c>
      <c r="I99">
        <v>2026</v>
      </c>
      <c r="J99" t="s">
        <v>549</v>
      </c>
      <c r="K99" t="s">
        <v>724</v>
      </c>
      <c r="L99" t="s">
        <v>724</v>
      </c>
      <c r="M99" t="s">
        <v>724</v>
      </c>
      <c r="N99" s="73">
        <v>0</v>
      </c>
      <c r="O99" t="str">
        <f>IFERROR(VLOOKUP(Basef[[#This Row],[Regional]],Tabela11[],2,0),"Vago")</f>
        <v>Liliane</v>
      </c>
      <c r="P99" t="str">
        <f>Basef[[#This Row],[Regional]]</f>
        <v>São Luís</v>
      </c>
    </row>
    <row r="100" spans="1:16" x14ac:dyDescent="0.3">
      <c r="A100">
        <v>34</v>
      </c>
      <c r="B100" t="s">
        <v>637</v>
      </c>
      <c r="C100" t="s">
        <v>103</v>
      </c>
      <c r="D100" t="s">
        <v>92</v>
      </c>
      <c r="E100">
        <v>100541.07</v>
      </c>
      <c r="F100">
        <v>100541.07</v>
      </c>
      <c r="G100">
        <v>136500</v>
      </c>
      <c r="H100" t="s">
        <v>690</v>
      </c>
      <c r="I100">
        <v>2026</v>
      </c>
      <c r="J100" t="s">
        <v>84</v>
      </c>
      <c r="K100" t="s">
        <v>84</v>
      </c>
      <c r="L100" t="s">
        <v>84</v>
      </c>
      <c r="M100" t="s">
        <v>84</v>
      </c>
      <c r="N100" s="73">
        <v>0</v>
      </c>
      <c r="O100" t="str">
        <f>IFERROR(VLOOKUP(Basef[[#This Row],[Regional]],Tabela11[],2,0),"Vago")</f>
        <v>Liliane</v>
      </c>
      <c r="P100" t="str">
        <f>Basef[[#This Row],[Regional]]</f>
        <v>São Luís</v>
      </c>
    </row>
    <row r="101" spans="1:16" x14ac:dyDescent="0.3">
      <c r="A101">
        <v>17</v>
      </c>
      <c r="B101" t="s">
        <v>660</v>
      </c>
      <c r="C101" t="s">
        <v>103</v>
      </c>
      <c r="D101" t="s">
        <v>93</v>
      </c>
      <c r="E101">
        <v>3645.99</v>
      </c>
      <c r="F101">
        <v>3645.99</v>
      </c>
      <c r="G101">
        <v>4000</v>
      </c>
      <c r="H101" t="s">
        <v>690</v>
      </c>
      <c r="I101">
        <v>2026</v>
      </c>
      <c r="J101" t="s">
        <v>90</v>
      </c>
      <c r="K101" t="s">
        <v>90</v>
      </c>
      <c r="L101" t="s">
        <v>90</v>
      </c>
      <c r="M101" t="s">
        <v>90</v>
      </c>
      <c r="N101" s="73">
        <v>0</v>
      </c>
      <c r="O101" t="str">
        <f>IFERROR(VLOOKUP(Basef[[#This Row],[Regional]],Tabela11[],2,0),"Vago")</f>
        <v>Liliane</v>
      </c>
      <c r="P101" t="str">
        <f>Basef[[#This Row],[Regional]]</f>
        <v>São Luís</v>
      </c>
    </row>
    <row r="102" spans="1:16" x14ac:dyDescent="0.3">
      <c r="A102">
        <v>200</v>
      </c>
      <c r="B102" t="s">
        <v>670</v>
      </c>
      <c r="C102" t="s">
        <v>103</v>
      </c>
      <c r="D102" t="s">
        <v>627</v>
      </c>
      <c r="E102">
        <v>750.79</v>
      </c>
      <c r="F102">
        <v>750.79</v>
      </c>
      <c r="G102">
        <v>5000</v>
      </c>
      <c r="H102" t="s">
        <v>690</v>
      </c>
      <c r="I102">
        <v>2026</v>
      </c>
      <c r="J102" t="s">
        <v>71</v>
      </c>
      <c r="K102" t="s">
        <v>596</v>
      </c>
      <c r="L102" t="s">
        <v>596</v>
      </c>
      <c r="M102" t="s">
        <v>596</v>
      </c>
      <c r="N102" s="73">
        <v>0</v>
      </c>
      <c r="O102" t="str">
        <f>IFERROR(VLOOKUP(Basef[[#This Row],[Regional]],Tabela11[],2,0),"Vago")</f>
        <v>Liliane</v>
      </c>
      <c r="P102" t="str">
        <f>Basef[[#This Row],[Regional]]</f>
        <v>São Luís</v>
      </c>
    </row>
    <row r="103" spans="1:16" x14ac:dyDescent="0.3">
      <c r="A103">
        <v>12</v>
      </c>
      <c r="B103" t="s">
        <v>683</v>
      </c>
      <c r="C103" t="s">
        <v>103</v>
      </c>
      <c r="D103" t="s">
        <v>627</v>
      </c>
      <c r="E103">
        <v>455.22</v>
      </c>
      <c r="F103">
        <v>455.22</v>
      </c>
      <c r="G103">
        <v>3500</v>
      </c>
      <c r="H103" t="s">
        <v>690</v>
      </c>
      <c r="I103">
        <v>2026</v>
      </c>
      <c r="J103" t="s">
        <v>357</v>
      </c>
      <c r="K103" t="s">
        <v>423</v>
      </c>
      <c r="L103" t="s">
        <v>423</v>
      </c>
      <c r="M103" t="s">
        <v>423</v>
      </c>
      <c r="N103" s="73">
        <v>0</v>
      </c>
      <c r="O103" t="str">
        <f>IFERROR(VLOOKUP(Basef[[#This Row],[Regional]],Tabela11[],2,0),"Vago")</f>
        <v>Liliane</v>
      </c>
      <c r="P103" t="str">
        <f>Basef[[#This Row],[Regional]]</f>
        <v>São Luís</v>
      </c>
    </row>
    <row r="104" spans="1:16" x14ac:dyDescent="0.3">
      <c r="A104">
        <v>409</v>
      </c>
      <c r="B104" t="s">
        <v>205</v>
      </c>
      <c r="C104" t="s">
        <v>103</v>
      </c>
      <c r="D104" t="s">
        <v>93</v>
      </c>
      <c r="E104">
        <v>1274.92</v>
      </c>
      <c r="F104">
        <v>1274.92</v>
      </c>
      <c r="G104">
        <v>1000</v>
      </c>
      <c r="H104" t="s">
        <v>690</v>
      </c>
      <c r="I104">
        <v>2026</v>
      </c>
      <c r="J104" t="s">
        <v>609</v>
      </c>
      <c r="K104" t="s">
        <v>551</v>
      </c>
      <c r="L104" t="s">
        <v>551</v>
      </c>
      <c r="M104" t="s">
        <v>551</v>
      </c>
      <c r="N104" s="73">
        <v>0</v>
      </c>
      <c r="O104" t="str">
        <f>IFERROR(VLOOKUP(Basef[[#This Row],[Regional]],Tabela11[],2,0),"Vago")</f>
        <v>Liliane</v>
      </c>
      <c r="P104" t="str">
        <f>Basef[[#This Row],[Regional]]</f>
        <v>São Luís</v>
      </c>
    </row>
    <row r="105" spans="1:16" x14ac:dyDescent="0.3">
      <c r="A105">
        <v>526</v>
      </c>
      <c r="B105" t="s">
        <v>653</v>
      </c>
      <c r="C105" t="s">
        <v>103</v>
      </c>
      <c r="D105" t="s">
        <v>92</v>
      </c>
      <c r="E105">
        <v>30137.83</v>
      </c>
      <c r="F105">
        <v>30137.83</v>
      </c>
      <c r="G105">
        <v>38000</v>
      </c>
      <c r="H105" t="s">
        <v>690</v>
      </c>
      <c r="I105">
        <v>2026</v>
      </c>
      <c r="J105" t="s">
        <v>549</v>
      </c>
      <c r="K105" t="s">
        <v>724</v>
      </c>
      <c r="L105" t="s">
        <v>724</v>
      </c>
      <c r="M105" t="s">
        <v>724</v>
      </c>
      <c r="N105" s="73">
        <v>0</v>
      </c>
      <c r="O105" t="str">
        <f>IFERROR(VLOOKUP(Basef[[#This Row],[Regional]],Tabela11[],2,0),"Vago")</f>
        <v>Liliane</v>
      </c>
      <c r="P105" t="str">
        <f>Basef[[#This Row],[Regional]]</f>
        <v>São Luís</v>
      </c>
    </row>
    <row r="106" spans="1:16" x14ac:dyDescent="0.3">
      <c r="A106">
        <v>539</v>
      </c>
      <c r="B106" t="s">
        <v>642</v>
      </c>
      <c r="C106" t="s">
        <v>103</v>
      </c>
      <c r="D106" t="s">
        <v>627</v>
      </c>
      <c r="E106">
        <v>3462.76</v>
      </c>
      <c r="F106">
        <v>3462.76</v>
      </c>
      <c r="G106">
        <v>500</v>
      </c>
      <c r="H106" t="s">
        <v>690</v>
      </c>
      <c r="I106">
        <v>2026</v>
      </c>
      <c r="J106" t="s">
        <v>549</v>
      </c>
      <c r="K106" t="s">
        <v>724</v>
      </c>
      <c r="L106" t="s">
        <v>724</v>
      </c>
      <c r="M106" t="s">
        <v>724</v>
      </c>
      <c r="N106" s="73">
        <v>0</v>
      </c>
      <c r="O106" t="str">
        <f>IFERROR(VLOOKUP(Basef[[#This Row],[Regional]],Tabela11[],2,0),"Vago")</f>
        <v>Liliane</v>
      </c>
      <c r="P106" t="str">
        <f>Basef[[#This Row],[Regional]]</f>
        <v>São Luís</v>
      </c>
    </row>
    <row r="107" spans="1:16" x14ac:dyDescent="0.3">
      <c r="A107">
        <v>16</v>
      </c>
      <c r="B107" t="s">
        <v>665</v>
      </c>
      <c r="C107" t="s">
        <v>103</v>
      </c>
      <c r="D107" t="s">
        <v>3</v>
      </c>
      <c r="E107">
        <v>101422.02</v>
      </c>
      <c r="F107">
        <v>101422.02</v>
      </c>
      <c r="G107">
        <v>123000</v>
      </c>
      <c r="H107" t="s">
        <v>690</v>
      </c>
      <c r="I107">
        <v>2026</v>
      </c>
      <c r="J107" t="s">
        <v>71</v>
      </c>
      <c r="K107" t="s">
        <v>596</v>
      </c>
      <c r="L107" t="s">
        <v>596</v>
      </c>
      <c r="M107" t="s">
        <v>596</v>
      </c>
      <c r="N107" s="73">
        <v>2166.79</v>
      </c>
      <c r="O107" t="str">
        <f>IFERROR(VLOOKUP(Basef[[#This Row],[Regional]],Tabela11[],2,0),"Vago")</f>
        <v>Liliane</v>
      </c>
      <c r="P107" t="str">
        <f>Basef[[#This Row],[Regional]]</f>
        <v>São Luís</v>
      </c>
    </row>
    <row r="108" spans="1:16" x14ac:dyDescent="0.3">
      <c r="A108">
        <v>31</v>
      </c>
      <c r="B108" t="s">
        <v>643</v>
      </c>
      <c r="C108" t="s">
        <v>103</v>
      </c>
      <c r="D108" t="s">
        <v>627</v>
      </c>
      <c r="E108">
        <v>1821.76</v>
      </c>
      <c r="F108">
        <v>1821.76</v>
      </c>
      <c r="G108">
        <v>2500</v>
      </c>
      <c r="H108" t="s">
        <v>690</v>
      </c>
      <c r="I108">
        <v>2026</v>
      </c>
      <c r="J108" t="s">
        <v>609</v>
      </c>
      <c r="K108" t="s">
        <v>551</v>
      </c>
      <c r="L108" t="s">
        <v>551</v>
      </c>
      <c r="M108" t="s">
        <v>551</v>
      </c>
      <c r="N108" s="73">
        <v>0</v>
      </c>
      <c r="O108" t="str">
        <f>IFERROR(VLOOKUP(Basef[[#This Row],[Regional]],Tabela11[],2,0),"Vago")</f>
        <v>Liliane</v>
      </c>
      <c r="P108" t="str">
        <f>Basef[[#This Row],[Regional]]</f>
        <v>São Luís</v>
      </c>
    </row>
    <row r="109" spans="1:16" x14ac:dyDescent="0.3">
      <c r="A109">
        <v>93</v>
      </c>
      <c r="B109" t="s">
        <v>655</v>
      </c>
      <c r="C109" t="s">
        <v>103</v>
      </c>
      <c r="D109" t="s">
        <v>93</v>
      </c>
      <c r="E109">
        <v>3910.6</v>
      </c>
      <c r="F109">
        <v>3910.6</v>
      </c>
      <c r="G109">
        <v>2500</v>
      </c>
      <c r="H109" t="s">
        <v>690</v>
      </c>
      <c r="I109">
        <v>2026</v>
      </c>
      <c r="J109" t="s">
        <v>609</v>
      </c>
      <c r="K109" t="s">
        <v>551</v>
      </c>
      <c r="L109" t="s">
        <v>551</v>
      </c>
      <c r="M109" t="s">
        <v>551</v>
      </c>
      <c r="N109" s="73">
        <v>0</v>
      </c>
      <c r="O109" t="str">
        <f>IFERROR(VLOOKUP(Basef[[#This Row],[Regional]],Tabela11[],2,0),"Vago")</f>
        <v>Liliane</v>
      </c>
      <c r="P109" t="str">
        <f>Basef[[#This Row],[Regional]]</f>
        <v>São Luís</v>
      </c>
    </row>
    <row r="110" spans="1:16" x14ac:dyDescent="0.3">
      <c r="A110">
        <v>554</v>
      </c>
      <c r="B110" t="s">
        <v>662</v>
      </c>
      <c r="C110" t="s">
        <v>103</v>
      </c>
      <c r="D110" t="s">
        <v>93</v>
      </c>
      <c r="E110">
        <v>556.51</v>
      </c>
      <c r="F110">
        <v>642.13</v>
      </c>
      <c r="G110">
        <v>3000</v>
      </c>
      <c r="H110" t="s">
        <v>690</v>
      </c>
      <c r="I110">
        <v>2026</v>
      </c>
      <c r="J110" t="s">
        <v>609</v>
      </c>
      <c r="K110" t="s">
        <v>551</v>
      </c>
      <c r="L110" t="s">
        <v>551</v>
      </c>
      <c r="M110" t="s">
        <v>551</v>
      </c>
      <c r="N110" s="73">
        <v>0</v>
      </c>
      <c r="O110" t="str">
        <f>IFERROR(VLOOKUP(Basef[[#This Row],[Regional]],Tabela11[],2,0),"Vago")</f>
        <v>Liliane</v>
      </c>
      <c r="P110" t="str">
        <f>Basef[[#This Row],[Regional]]</f>
        <v>São Luís</v>
      </c>
    </row>
    <row r="111" spans="1:16" x14ac:dyDescent="0.3">
      <c r="A111">
        <v>11</v>
      </c>
      <c r="B111" t="s">
        <v>629</v>
      </c>
      <c r="C111" t="s">
        <v>103</v>
      </c>
      <c r="D111" t="s">
        <v>92</v>
      </c>
      <c r="E111">
        <v>32811.54</v>
      </c>
      <c r="F111">
        <v>32811.54</v>
      </c>
      <c r="G111">
        <v>45000</v>
      </c>
      <c r="H111" t="s">
        <v>690</v>
      </c>
      <c r="I111">
        <v>2026</v>
      </c>
      <c r="J111" t="s">
        <v>609</v>
      </c>
      <c r="K111" t="s">
        <v>551</v>
      </c>
      <c r="L111" t="s">
        <v>551</v>
      </c>
      <c r="M111" t="s">
        <v>551</v>
      </c>
      <c r="N111" s="73">
        <v>0</v>
      </c>
      <c r="O111" t="str">
        <f>IFERROR(VLOOKUP(Basef[[#This Row],[Regional]],Tabela11[],2,0),"Vago")</f>
        <v>Liliane</v>
      </c>
      <c r="P111" t="str">
        <f>Basef[[#This Row],[Regional]]</f>
        <v>São Luís</v>
      </c>
    </row>
    <row r="112" spans="1:16" x14ac:dyDescent="0.3">
      <c r="A112">
        <v>539</v>
      </c>
      <c r="B112" t="s">
        <v>642</v>
      </c>
      <c r="C112" t="s">
        <v>103</v>
      </c>
      <c r="D112" t="s">
        <v>93</v>
      </c>
      <c r="E112">
        <v>2701.35</v>
      </c>
      <c r="F112">
        <v>2701.35</v>
      </c>
      <c r="G112">
        <v>3000</v>
      </c>
      <c r="H112" t="s">
        <v>690</v>
      </c>
      <c r="I112">
        <v>2026</v>
      </c>
      <c r="J112" t="s">
        <v>549</v>
      </c>
      <c r="K112" t="s">
        <v>724</v>
      </c>
      <c r="L112" t="s">
        <v>724</v>
      </c>
      <c r="M112" t="s">
        <v>724</v>
      </c>
      <c r="N112" s="73">
        <v>0</v>
      </c>
      <c r="O112" t="str">
        <f>IFERROR(VLOOKUP(Basef[[#This Row],[Regional]],Tabela11[],2,0),"Vago")</f>
        <v>Liliane</v>
      </c>
      <c r="P112" t="str">
        <f>Basef[[#This Row],[Regional]]</f>
        <v>São Luís</v>
      </c>
    </row>
    <row r="113" spans="1:16" x14ac:dyDescent="0.3">
      <c r="A113">
        <v>255</v>
      </c>
      <c r="B113" t="s">
        <v>639</v>
      </c>
      <c r="C113" t="s">
        <v>103</v>
      </c>
      <c r="D113" t="s">
        <v>93</v>
      </c>
      <c r="E113">
        <v>6905.21</v>
      </c>
      <c r="F113">
        <v>6905.21</v>
      </c>
      <c r="G113">
        <v>7500</v>
      </c>
      <c r="H113" t="s">
        <v>690</v>
      </c>
      <c r="I113">
        <v>2026</v>
      </c>
      <c r="J113" t="s">
        <v>357</v>
      </c>
      <c r="K113" t="s">
        <v>423</v>
      </c>
      <c r="L113" t="s">
        <v>423</v>
      </c>
      <c r="M113" t="s">
        <v>423</v>
      </c>
      <c r="N113" s="73">
        <v>0</v>
      </c>
      <c r="O113" t="str">
        <f>IFERROR(VLOOKUP(Basef[[#This Row],[Regional]],Tabela11[],2,0),"Vago")</f>
        <v>Liliane</v>
      </c>
      <c r="P113" t="str">
        <f>Basef[[#This Row],[Regional]]</f>
        <v>São Luís</v>
      </c>
    </row>
    <row r="114" spans="1:16" x14ac:dyDescent="0.3">
      <c r="A114">
        <v>539</v>
      </c>
      <c r="B114" t="s">
        <v>642</v>
      </c>
      <c r="C114" t="s">
        <v>103</v>
      </c>
      <c r="D114" t="s">
        <v>3</v>
      </c>
      <c r="E114">
        <v>38853.56</v>
      </c>
      <c r="F114">
        <v>38853.56</v>
      </c>
      <c r="G114">
        <v>36000</v>
      </c>
      <c r="H114" t="s">
        <v>690</v>
      </c>
      <c r="I114">
        <v>2026</v>
      </c>
      <c r="J114" t="s">
        <v>549</v>
      </c>
      <c r="K114" t="s">
        <v>724</v>
      </c>
      <c r="L114" t="s">
        <v>724</v>
      </c>
      <c r="M114" t="s">
        <v>724</v>
      </c>
      <c r="N114" s="73">
        <v>212.33</v>
      </c>
      <c r="O114" t="str">
        <f>IFERROR(VLOOKUP(Basef[[#This Row],[Regional]],Tabela11[],2,0),"Vago")</f>
        <v>Liliane</v>
      </c>
      <c r="P114" t="str">
        <f>Basef[[#This Row],[Regional]]</f>
        <v>São Luís</v>
      </c>
    </row>
    <row r="115" spans="1:16" x14ac:dyDescent="0.3">
      <c r="A115">
        <v>8</v>
      </c>
      <c r="B115" t="s">
        <v>672</v>
      </c>
      <c r="C115" t="s">
        <v>103</v>
      </c>
      <c r="D115" t="s">
        <v>3</v>
      </c>
      <c r="E115">
        <v>40701.620000000003</v>
      </c>
      <c r="F115">
        <v>40701.620000000003</v>
      </c>
      <c r="G115">
        <v>45000</v>
      </c>
      <c r="H115" t="s">
        <v>690</v>
      </c>
      <c r="I115">
        <v>2026</v>
      </c>
      <c r="J115" t="s">
        <v>357</v>
      </c>
      <c r="K115" t="s">
        <v>423</v>
      </c>
      <c r="L115" t="s">
        <v>423</v>
      </c>
      <c r="M115" t="s">
        <v>423</v>
      </c>
      <c r="N115" s="73">
        <v>419.67</v>
      </c>
      <c r="O115" t="str">
        <f>IFERROR(VLOOKUP(Basef[[#This Row],[Regional]],Tabela11[],2,0),"Vago")</f>
        <v>Liliane</v>
      </c>
      <c r="P115" t="str">
        <f>Basef[[#This Row],[Regional]]</f>
        <v>São Luís</v>
      </c>
    </row>
    <row r="116" spans="1:16" x14ac:dyDescent="0.3">
      <c r="A116">
        <v>12</v>
      </c>
      <c r="B116" t="s">
        <v>683</v>
      </c>
      <c r="C116" t="s">
        <v>103</v>
      </c>
      <c r="D116" t="s">
        <v>92</v>
      </c>
      <c r="E116">
        <v>23789.21</v>
      </c>
      <c r="F116">
        <v>23789.21</v>
      </c>
      <c r="G116">
        <v>22000</v>
      </c>
      <c r="H116" t="s">
        <v>690</v>
      </c>
      <c r="I116">
        <v>2026</v>
      </c>
      <c r="J116" t="s">
        <v>357</v>
      </c>
      <c r="K116" t="s">
        <v>423</v>
      </c>
      <c r="L116" t="s">
        <v>423</v>
      </c>
      <c r="M116" t="s">
        <v>423</v>
      </c>
      <c r="N116" s="73">
        <v>0</v>
      </c>
      <c r="O116" t="str">
        <f>IFERROR(VLOOKUP(Basef[[#This Row],[Regional]],Tabela11[],2,0),"Vago")</f>
        <v>Liliane</v>
      </c>
      <c r="P116" t="str">
        <f>Basef[[#This Row],[Regional]]</f>
        <v>São Luís</v>
      </c>
    </row>
    <row r="117" spans="1:16" x14ac:dyDescent="0.3">
      <c r="A117">
        <v>16</v>
      </c>
      <c r="B117" t="s">
        <v>665</v>
      </c>
      <c r="C117" t="s">
        <v>103</v>
      </c>
      <c r="D117" t="s">
        <v>92</v>
      </c>
      <c r="E117">
        <v>48142.39</v>
      </c>
      <c r="F117">
        <v>48142.39</v>
      </c>
      <c r="G117">
        <v>56000</v>
      </c>
      <c r="H117" t="s">
        <v>690</v>
      </c>
      <c r="I117">
        <v>2026</v>
      </c>
      <c r="J117" t="s">
        <v>71</v>
      </c>
      <c r="K117" t="s">
        <v>596</v>
      </c>
      <c r="L117" t="s">
        <v>596</v>
      </c>
      <c r="M117" t="s">
        <v>596</v>
      </c>
      <c r="N117" s="73">
        <v>0</v>
      </c>
      <c r="O117" t="str">
        <f>IFERROR(VLOOKUP(Basef[[#This Row],[Regional]],Tabela11[],2,0),"Vago")</f>
        <v>Liliane</v>
      </c>
      <c r="P117" t="str">
        <f>Basef[[#This Row],[Regional]]</f>
        <v>São Luís</v>
      </c>
    </row>
    <row r="118" spans="1:16" x14ac:dyDescent="0.3">
      <c r="A118">
        <v>218</v>
      </c>
      <c r="B118" t="s">
        <v>635</v>
      </c>
      <c r="C118" t="s">
        <v>103</v>
      </c>
      <c r="D118" t="s">
        <v>92</v>
      </c>
      <c r="E118">
        <v>25870.87</v>
      </c>
      <c r="F118">
        <v>25870.87</v>
      </c>
      <c r="G118">
        <v>20000</v>
      </c>
      <c r="H118" t="s">
        <v>690</v>
      </c>
      <c r="I118">
        <v>2026</v>
      </c>
      <c r="J118" t="s">
        <v>90</v>
      </c>
      <c r="K118" t="s">
        <v>90</v>
      </c>
      <c r="L118" t="s">
        <v>90</v>
      </c>
      <c r="M118" t="s">
        <v>90</v>
      </c>
      <c r="N118" s="73">
        <v>0</v>
      </c>
      <c r="O118" t="str">
        <f>IFERROR(VLOOKUP(Basef[[#This Row],[Regional]],Tabela11[],2,0),"Vago")</f>
        <v>Liliane</v>
      </c>
      <c r="P118" t="str">
        <f>Basef[[#This Row],[Regional]]</f>
        <v>São Luís</v>
      </c>
    </row>
    <row r="119" spans="1:16" x14ac:dyDescent="0.3">
      <c r="A119">
        <v>259</v>
      </c>
      <c r="B119" t="s">
        <v>640</v>
      </c>
      <c r="C119" t="s">
        <v>103</v>
      </c>
      <c r="D119" t="s">
        <v>3</v>
      </c>
      <c r="E119">
        <v>29534.71</v>
      </c>
      <c r="F119">
        <v>29534.71</v>
      </c>
      <c r="G119">
        <v>34000</v>
      </c>
      <c r="H119" t="s">
        <v>690</v>
      </c>
      <c r="I119">
        <v>2026</v>
      </c>
      <c r="J119" t="s">
        <v>90</v>
      </c>
      <c r="K119" t="s">
        <v>90</v>
      </c>
      <c r="L119" t="s">
        <v>90</v>
      </c>
      <c r="M119" t="s">
        <v>90</v>
      </c>
      <c r="N119" s="73">
        <v>502.42</v>
      </c>
      <c r="O119" t="str">
        <f>IFERROR(VLOOKUP(Basef[[#This Row],[Regional]],Tabela11[],2,0),"Vago")</f>
        <v>Liliane</v>
      </c>
      <c r="P119" t="str">
        <f>Basef[[#This Row],[Regional]]</f>
        <v>São Luís</v>
      </c>
    </row>
    <row r="120" spans="1:16" x14ac:dyDescent="0.3">
      <c r="A120">
        <v>411</v>
      </c>
      <c r="B120" t="s">
        <v>209</v>
      </c>
      <c r="C120" t="s">
        <v>103</v>
      </c>
      <c r="D120" t="s">
        <v>3</v>
      </c>
      <c r="E120">
        <v>13361.67</v>
      </c>
      <c r="F120">
        <v>13361.67</v>
      </c>
      <c r="G120">
        <v>11000</v>
      </c>
      <c r="H120" t="s">
        <v>690</v>
      </c>
      <c r="I120">
        <v>2026</v>
      </c>
      <c r="J120" t="s">
        <v>71</v>
      </c>
      <c r="K120" t="s">
        <v>596</v>
      </c>
      <c r="L120" t="s">
        <v>596</v>
      </c>
      <c r="M120" t="s">
        <v>596</v>
      </c>
      <c r="N120" s="73">
        <v>1064.5</v>
      </c>
      <c r="O120" t="str">
        <f>IFERROR(VLOOKUP(Basef[[#This Row],[Regional]],Tabela11[],2,0),"Vago")</f>
        <v>Liliane</v>
      </c>
      <c r="P120" t="str">
        <f>Basef[[#This Row],[Regional]]</f>
        <v>São Luís</v>
      </c>
    </row>
    <row r="121" spans="1:16" x14ac:dyDescent="0.3">
      <c r="A121">
        <v>526</v>
      </c>
      <c r="B121" t="s">
        <v>653</v>
      </c>
      <c r="C121" t="s">
        <v>103</v>
      </c>
      <c r="D121" t="s">
        <v>93</v>
      </c>
      <c r="E121">
        <v>746.56</v>
      </c>
      <c r="F121">
        <v>746.56</v>
      </c>
      <c r="G121">
        <v>1500</v>
      </c>
      <c r="H121" t="s">
        <v>690</v>
      </c>
      <c r="I121">
        <v>2026</v>
      </c>
      <c r="J121" t="s">
        <v>549</v>
      </c>
      <c r="K121" t="s">
        <v>724</v>
      </c>
      <c r="L121" t="s">
        <v>724</v>
      </c>
      <c r="M121" t="s">
        <v>724</v>
      </c>
      <c r="N121" s="73">
        <v>0</v>
      </c>
      <c r="O121" t="str">
        <f>IFERROR(VLOOKUP(Basef[[#This Row],[Regional]],Tabela11[],2,0),"Vago")</f>
        <v>Liliane</v>
      </c>
      <c r="P121" t="str">
        <f>Basef[[#This Row],[Regional]]</f>
        <v>São Luís</v>
      </c>
    </row>
    <row r="122" spans="1:16" x14ac:dyDescent="0.3">
      <c r="A122">
        <v>96</v>
      </c>
      <c r="B122" t="s">
        <v>661</v>
      </c>
      <c r="C122" t="s">
        <v>103</v>
      </c>
      <c r="D122" t="s">
        <v>3</v>
      </c>
      <c r="E122">
        <v>19402.580000000002</v>
      </c>
      <c r="F122">
        <v>19402.580000000002</v>
      </c>
      <c r="G122">
        <v>27000</v>
      </c>
      <c r="H122" t="s">
        <v>690</v>
      </c>
      <c r="I122">
        <v>2026</v>
      </c>
      <c r="J122" t="s">
        <v>549</v>
      </c>
      <c r="K122" t="s">
        <v>724</v>
      </c>
      <c r="L122" t="s">
        <v>724</v>
      </c>
      <c r="M122" t="s">
        <v>724</v>
      </c>
      <c r="N122" s="73">
        <v>694.18000000000006</v>
      </c>
      <c r="O122" t="str">
        <f>IFERROR(VLOOKUP(Basef[[#This Row],[Regional]],Tabela11[],2,0),"Vago")</f>
        <v>Liliane</v>
      </c>
      <c r="P122" t="str">
        <f>Basef[[#This Row],[Regional]]</f>
        <v>São Luís</v>
      </c>
    </row>
    <row r="123" spans="1:16" x14ac:dyDescent="0.3">
      <c r="A123">
        <v>409</v>
      </c>
      <c r="B123" t="s">
        <v>205</v>
      </c>
      <c r="C123" t="s">
        <v>103</v>
      </c>
      <c r="D123" t="s">
        <v>3</v>
      </c>
      <c r="E123">
        <v>19666.03</v>
      </c>
      <c r="F123">
        <v>19666.03</v>
      </c>
      <c r="G123">
        <v>21000</v>
      </c>
      <c r="H123" t="s">
        <v>690</v>
      </c>
      <c r="I123">
        <v>2026</v>
      </c>
      <c r="J123" t="s">
        <v>609</v>
      </c>
      <c r="K123" t="s">
        <v>551</v>
      </c>
      <c r="L123" t="s">
        <v>551</v>
      </c>
      <c r="M123" t="s">
        <v>551</v>
      </c>
      <c r="N123" s="73">
        <v>397.55</v>
      </c>
      <c r="O123" t="str">
        <f>IFERROR(VLOOKUP(Basef[[#This Row],[Regional]],Tabela11[],2,0),"Vago")</f>
        <v>Liliane</v>
      </c>
      <c r="P123" t="str">
        <f>Basef[[#This Row],[Regional]]</f>
        <v>São Luís</v>
      </c>
    </row>
    <row r="124" spans="1:16" x14ac:dyDescent="0.3">
      <c r="A124">
        <v>8</v>
      </c>
      <c r="B124" t="s">
        <v>672</v>
      </c>
      <c r="C124" t="s">
        <v>103</v>
      </c>
      <c r="D124" t="s">
        <v>627</v>
      </c>
      <c r="E124">
        <v>1217.8800000000001</v>
      </c>
      <c r="F124">
        <v>1217.8800000000001</v>
      </c>
      <c r="G124">
        <v>4000</v>
      </c>
      <c r="H124" t="s">
        <v>690</v>
      </c>
      <c r="I124">
        <v>2026</v>
      </c>
      <c r="J124" t="s">
        <v>357</v>
      </c>
      <c r="K124" t="s">
        <v>423</v>
      </c>
      <c r="L124" t="s">
        <v>423</v>
      </c>
      <c r="M124" t="s">
        <v>423</v>
      </c>
      <c r="N124" s="73">
        <v>0</v>
      </c>
      <c r="O124" t="str">
        <f>IFERROR(VLOOKUP(Basef[[#This Row],[Regional]],Tabela11[],2,0),"Vago")</f>
        <v>Liliane</v>
      </c>
      <c r="P124" t="str">
        <f>Basef[[#This Row],[Regional]]</f>
        <v>São Luís</v>
      </c>
    </row>
    <row r="125" spans="1:16" x14ac:dyDescent="0.3">
      <c r="A125">
        <v>7</v>
      </c>
      <c r="B125" t="s">
        <v>628</v>
      </c>
      <c r="C125" t="s">
        <v>103</v>
      </c>
      <c r="D125" t="s">
        <v>3</v>
      </c>
      <c r="E125">
        <v>197085.22</v>
      </c>
      <c r="F125">
        <v>197085.22</v>
      </c>
      <c r="G125">
        <v>209000</v>
      </c>
      <c r="H125" t="s">
        <v>690</v>
      </c>
      <c r="I125">
        <v>2026</v>
      </c>
      <c r="J125" t="s">
        <v>356</v>
      </c>
      <c r="K125" t="s">
        <v>356</v>
      </c>
      <c r="L125" t="s">
        <v>356</v>
      </c>
      <c r="M125" t="s">
        <v>356</v>
      </c>
      <c r="N125" s="73">
        <v>2291.36</v>
      </c>
      <c r="O125" t="str">
        <f>IFERROR(VLOOKUP(Basef[[#This Row],[Regional]],Tabela11[],2,0),"Vago")</f>
        <v>Liliane</v>
      </c>
      <c r="P125" t="str">
        <f>Basef[[#This Row],[Regional]]</f>
        <v>São Luís</v>
      </c>
    </row>
    <row r="126" spans="1:16" x14ac:dyDescent="0.3">
      <c r="A126">
        <v>96</v>
      </c>
      <c r="B126" t="s">
        <v>661</v>
      </c>
      <c r="C126" t="s">
        <v>103</v>
      </c>
      <c r="D126" t="s">
        <v>92</v>
      </c>
      <c r="E126">
        <v>43252.25</v>
      </c>
      <c r="F126">
        <v>43252.25</v>
      </c>
      <c r="G126">
        <v>56000</v>
      </c>
      <c r="H126" t="s">
        <v>690</v>
      </c>
      <c r="I126">
        <v>2026</v>
      </c>
      <c r="J126" t="s">
        <v>549</v>
      </c>
      <c r="K126" t="s">
        <v>724</v>
      </c>
      <c r="L126" t="s">
        <v>724</v>
      </c>
      <c r="M126" t="s">
        <v>724</v>
      </c>
      <c r="N126" s="73">
        <v>0</v>
      </c>
      <c r="O126" t="str">
        <f>IFERROR(VLOOKUP(Basef[[#This Row],[Regional]],Tabela11[],2,0),"Vago")</f>
        <v>Liliane</v>
      </c>
      <c r="P126" t="str">
        <f>Basef[[#This Row],[Regional]]</f>
        <v>São Luís</v>
      </c>
    </row>
    <row r="127" spans="1:16" x14ac:dyDescent="0.3">
      <c r="A127">
        <v>30</v>
      </c>
      <c r="B127" t="s">
        <v>646</v>
      </c>
      <c r="C127" t="s">
        <v>103</v>
      </c>
      <c r="D127" t="s">
        <v>93</v>
      </c>
      <c r="E127">
        <v>2117.02</v>
      </c>
      <c r="F127">
        <v>2117.02</v>
      </c>
      <c r="G127">
        <v>1000</v>
      </c>
      <c r="H127" t="s">
        <v>690</v>
      </c>
      <c r="I127">
        <v>2026</v>
      </c>
      <c r="J127" t="s">
        <v>549</v>
      </c>
      <c r="K127" t="s">
        <v>724</v>
      </c>
      <c r="L127" t="s">
        <v>724</v>
      </c>
      <c r="M127" t="s">
        <v>724</v>
      </c>
      <c r="N127" s="73">
        <v>0</v>
      </c>
      <c r="O127" t="str">
        <f>IFERROR(VLOOKUP(Basef[[#This Row],[Regional]],Tabela11[],2,0),"Vago")</f>
        <v>Liliane</v>
      </c>
      <c r="P127" t="str">
        <f>Basef[[#This Row],[Regional]]</f>
        <v>São Luís</v>
      </c>
    </row>
    <row r="128" spans="1:16" x14ac:dyDescent="0.3">
      <c r="A128">
        <v>408</v>
      </c>
      <c r="B128" t="s">
        <v>203</v>
      </c>
      <c r="C128" t="s">
        <v>103</v>
      </c>
      <c r="D128" t="s">
        <v>3</v>
      </c>
      <c r="E128">
        <v>23454.85</v>
      </c>
      <c r="F128">
        <v>23454.85</v>
      </c>
      <c r="G128">
        <v>24000</v>
      </c>
      <c r="H128" t="s">
        <v>690</v>
      </c>
      <c r="I128">
        <v>2026</v>
      </c>
      <c r="J128" t="s">
        <v>549</v>
      </c>
      <c r="K128" t="s">
        <v>724</v>
      </c>
      <c r="L128" t="s">
        <v>724</v>
      </c>
      <c r="M128" t="s">
        <v>724</v>
      </c>
      <c r="N128" s="73">
        <v>748.3</v>
      </c>
      <c r="O128" t="str">
        <f>IFERROR(VLOOKUP(Basef[[#This Row],[Regional]],Tabela11[],2,0),"Vago")</f>
        <v>Liliane</v>
      </c>
      <c r="P128" t="str">
        <f>Basef[[#This Row],[Regional]]</f>
        <v>São Luís</v>
      </c>
    </row>
    <row r="129" spans="1:16" x14ac:dyDescent="0.3">
      <c r="A129">
        <v>408</v>
      </c>
      <c r="B129" t="s">
        <v>203</v>
      </c>
      <c r="C129" t="s">
        <v>103</v>
      </c>
      <c r="D129" t="s">
        <v>92</v>
      </c>
      <c r="E129">
        <v>21741.55</v>
      </c>
      <c r="F129">
        <v>21741.55</v>
      </c>
      <c r="G129">
        <v>27000</v>
      </c>
      <c r="H129" t="s">
        <v>690</v>
      </c>
      <c r="I129">
        <v>2026</v>
      </c>
      <c r="J129" t="s">
        <v>549</v>
      </c>
      <c r="K129" t="s">
        <v>724</v>
      </c>
      <c r="L129" t="s">
        <v>724</v>
      </c>
      <c r="M129" t="s">
        <v>724</v>
      </c>
      <c r="N129" s="73">
        <v>0</v>
      </c>
      <c r="O129" t="str">
        <f>IFERROR(VLOOKUP(Basef[[#This Row],[Regional]],Tabela11[],2,0),"Vago")</f>
        <v>Liliane</v>
      </c>
      <c r="P129" t="str">
        <f>Basef[[#This Row],[Regional]]</f>
        <v>São Luís</v>
      </c>
    </row>
    <row r="130" spans="1:16" x14ac:dyDescent="0.3">
      <c r="A130">
        <v>418</v>
      </c>
      <c r="B130" t="s">
        <v>215</v>
      </c>
      <c r="C130" t="s">
        <v>103</v>
      </c>
      <c r="D130" t="s">
        <v>92</v>
      </c>
      <c r="E130">
        <v>5253.74</v>
      </c>
      <c r="F130">
        <v>5253.74</v>
      </c>
      <c r="G130">
        <v>9000</v>
      </c>
      <c r="H130" t="s">
        <v>690</v>
      </c>
      <c r="I130">
        <v>2026</v>
      </c>
      <c r="J130" t="s">
        <v>90</v>
      </c>
      <c r="K130" t="s">
        <v>596</v>
      </c>
      <c r="L130" t="s">
        <v>596</v>
      </c>
      <c r="M130" t="s">
        <v>596</v>
      </c>
      <c r="N130" s="73">
        <v>0</v>
      </c>
      <c r="O130" t="str">
        <f>IFERROR(VLOOKUP(Basef[[#This Row],[Regional]],Tabela11[],2,0),"Vago")</f>
        <v>Liliane</v>
      </c>
      <c r="P130" t="str">
        <f>Basef[[#This Row],[Regional]]</f>
        <v>São Luís</v>
      </c>
    </row>
    <row r="131" spans="1:16" x14ac:dyDescent="0.3">
      <c r="A131">
        <v>217</v>
      </c>
      <c r="B131" t="s">
        <v>630</v>
      </c>
      <c r="C131" t="s">
        <v>103</v>
      </c>
      <c r="D131" t="s">
        <v>627</v>
      </c>
      <c r="E131">
        <v>194.67</v>
      </c>
      <c r="F131">
        <v>194.67</v>
      </c>
      <c r="G131">
        <v>3500</v>
      </c>
      <c r="H131" t="s">
        <v>690</v>
      </c>
      <c r="I131">
        <v>2026</v>
      </c>
      <c r="J131" t="s">
        <v>357</v>
      </c>
      <c r="K131" t="s">
        <v>423</v>
      </c>
      <c r="L131" t="s">
        <v>423</v>
      </c>
      <c r="M131" t="s">
        <v>423</v>
      </c>
      <c r="N131" s="73">
        <v>0</v>
      </c>
      <c r="O131" t="str">
        <f>IFERROR(VLOOKUP(Basef[[#This Row],[Regional]],Tabela11[],2,0),"Vago")</f>
        <v>Liliane</v>
      </c>
      <c r="P131" t="str">
        <f>Basef[[#This Row],[Regional]]</f>
        <v>São Luís</v>
      </c>
    </row>
    <row r="132" spans="1:16" x14ac:dyDescent="0.3">
      <c r="A132">
        <v>259</v>
      </c>
      <c r="B132" t="s">
        <v>640</v>
      </c>
      <c r="C132" t="s">
        <v>103</v>
      </c>
      <c r="D132" t="s">
        <v>627</v>
      </c>
      <c r="E132">
        <v>4934.45</v>
      </c>
      <c r="F132">
        <v>4934.45</v>
      </c>
      <c r="G132">
        <v>6500</v>
      </c>
      <c r="H132" t="s">
        <v>690</v>
      </c>
      <c r="I132">
        <v>2026</v>
      </c>
      <c r="J132" t="s">
        <v>90</v>
      </c>
      <c r="K132" t="s">
        <v>90</v>
      </c>
      <c r="L132" t="s">
        <v>90</v>
      </c>
      <c r="M132" t="s">
        <v>90</v>
      </c>
      <c r="N132" s="73">
        <v>0</v>
      </c>
      <c r="O132" t="str">
        <f>IFERROR(VLOOKUP(Basef[[#This Row],[Regional]],Tabela11[],2,0),"Vago")</f>
        <v>Liliane</v>
      </c>
      <c r="P132" t="str">
        <f>Basef[[#This Row],[Regional]]</f>
        <v>São Luís</v>
      </c>
    </row>
    <row r="133" spans="1:16" x14ac:dyDescent="0.3">
      <c r="A133">
        <v>526</v>
      </c>
      <c r="B133" t="s">
        <v>653</v>
      </c>
      <c r="C133" t="s">
        <v>103</v>
      </c>
      <c r="D133" t="s">
        <v>627</v>
      </c>
      <c r="E133">
        <v>366.9</v>
      </c>
      <c r="F133">
        <v>366.9</v>
      </c>
      <c r="G133">
        <v>5000</v>
      </c>
      <c r="H133" t="s">
        <v>690</v>
      </c>
      <c r="I133">
        <v>2026</v>
      </c>
      <c r="J133" t="s">
        <v>549</v>
      </c>
      <c r="K133" t="s">
        <v>724</v>
      </c>
      <c r="L133" t="s">
        <v>724</v>
      </c>
      <c r="M133" t="s">
        <v>724</v>
      </c>
      <c r="N133" s="73">
        <v>0</v>
      </c>
      <c r="O133" t="str">
        <f>IFERROR(VLOOKUP(Basef[[#This Row],[Regional]],Tabela11[],2,0),"Vago")</f>
        <v>Liliane</v>
      </c>
      <c r="P133" t="str">
        <f>Basef[[#This Row],[Regional]]</f>
        <v>São Luís</v>
      </c>
    </row>
    <row r="134" spans="1:16" x14ac:dyDescent="0.3">
      <c r="A134">
        <v>31</v>
      </c>
      <c r="B134" t="s">
        <v>643</v>
      </c>
      <c r="C134" t="s">
        <v>103</v>
      </c>
      <c r="D134" t="s">
        <v>92</v>
      </c>
      <c r="E134">
        <v>26396.5</v>
      </c>
      <c r="F134">
        <v>26396.5</v>
      </c>
      <c r="G134">
        <v>28000</v>
      </c>
      <c r="H134" t="s">
        <v>690</v>
      </c>
      <c r="I134">
        <v>2026</v>
      </c>
      <c r="J134" t="s">
        <v>609</v>
      </c>
      <c r="K134" t="s">
        <v>551</v>
      </c>
      <c r="L134" t="s">
        <v>551</v>
      </c>
      <c r="M134" t="s">
        <v>551</v>
      </c>
      <c r="N134" s="73">
        <v>0</v>
      </c>
      <c r="O134" t="str">
        <f>IFERROR(VLOOKUP(Basef[[#This Row],[Regional]],Tabela11[],2,0),"Vago")</f>
        <v>Liliane</v>
      </c>
      <c r="P134" t="str">
        <f>Basef[[#This Row],[Regional]]</f>
        <v>São Luís</v>
      </c>
    </row>
    <row r="135" spans="1:16" x14ac:dyDescent="0.3">
      <c r="A135">
        <v>11</v>
      </c>
      <c r="B135" t="s">
        <v>629</v>
      </c>
      <c r="C135" t="s">
        <v>103</v>
      </c>
      <c r="D135" t="s">
        <v>93</v>
      </c>
      <c r="E135">
        <v>1481.62</v>
      </c>
      <c r="F135">
        <v>1481.62</v>
      </c>
      <c r="G135">
        <v>3000</v>
      </c>
      <c r="H135" t="s">
        <v>690</v>
      </c>
      <c r="I135">
        <v>2026</v>
      </c>
      <c r="J135" t="s">
        <v>609</v>
      </c>
      <c r="K135" t="s">
        <v>551</v>
      </c>
      <c r="L135" t="s">
        <v>551</v>
      </c>
      <c r="M135" t="s">
        <v>551</v>
      </c>
      <c r="N135" s="73">
        <v>0</v>
      </c>
      <c r="O135" t="str">
        <f>IFERROR(VLOOKUP(Basef[[#This Row],[Regional]],Tabela11[],2,0),"Vago")</f>
        <v>Liliane</v>
      </c>
      <c r="P135" t="str">
        <f>Basef[[#This Row],[Regional]]</f>
        <v>São Luís</v>
      </c>
    </row>
    <row r="136" spans="1:16" x14ac:dyDescent="0.3">
      <c r="A136">
        <v>18</v>
      </c>
      <c r="B136" t="s">
        <v>687</v>
      </c>
      <c r="C136" t="s">
        <v>103</v>
      </c>
      <c r="D136" t="s">
        <v>93</v>
      </c>
      <c r="E136">
        <v>2940.14</v>
      </c>
      <c r="F136">
        <v>2940.14</v>
      </c>
      <c r="G136">
        <v>2500</v>
      </c>
      <c r="H136" t="s">
        <v>690</v>
      </c>
      <c r="I136">
        <v>2026</v>
      </c>
      <c r="J136" t="s">
        <v>90</v>
      </c>
      <c r="K136" t="s">
        <v>90</v>
      </c>
      <c r="L136" t="s">
        <v>90</v>
      </c>
      <c r="M136" t="s">
        <v>90</v>
      </c>
      <c r="N136" s="73">
        <v>0</v>
      </c>
      <c r="O136" t="str">
        <f>IFERROR(VLOOKUP(Basef[[#This Row],[Regional]],Tabela11[],2,0),"Vago")</f>
        <v>Liliane</v>
      </c>
      <c r="P136" t="str">
        <f>Basef[[#This Row],[Regional]]</f>
        <v>São Luís</v>
      </c>
    </row>
    <row r="137" spans="1:16" x14ac:dyDescent="0.3">
      <c r="A137">
        <v>27</v>
      </c>
      <c r="B137" t="s">
        <v>688</v>
      </c>
      <c r="C137" t="s">
        <v>103</v>
      </c>
      <c r="D137" t="s">
        <v>92</v>
      </c>
      <c r="E137">
        <v>34391.120000000003</v>
      </c>
      <c r="F137">
        <v>34391.120000000003</v>
      </c>
      <c r="G137">
        <v>47000</v>
      </c>
      <c r="H137" t="s">
        <v>690</v>
      </c>
      <c r="I137">
        <v>2026</v>
      </c>
      <c r="J137" t="s">
        <v>357</v>
      </c>
      <c r="K137" t="s">
        <v>423</v>
      </c>
      <c r="L137" t="s">
        <v>423</v>
      </c>
      <c r="M137" t="s">
        <v>423</v>
      </c>
      <c r="N137" s="73">
        <v>0</v>
      </c>
      <c r="O137" t="str">
        <f>IFERROR(VLOOKUP(Basef[[#This Row],[Regional]],Tabela11[],2,0),"Vago")</f>
        <v>Liliane</v>
      </c>
      <c r="P137" t="str">
        <f>Basef[[#This Row],[Regional]]</f>
        <v>São Luís</v>
      </c>
    </row>
    <row r="138" spans="1:16" x14ac:dyDescent="0.3">
      <c r="A138">
        <v>415</v>
      </c>
      <c r="B138" t="s">
        <v>213</v>
      </c>
      <c r="C138" t="s">
        <v>103</v>
      </c>
      <c r="D138" t="s">
        <v>3</v>
      </c>
      <c r="E138">
        <v>10597.99</v>
      </c>
      <c r="F138">
        <v>10597.99</v>
      </c>
      <c r="G138">
        <v>12000</v>
      </c>
      <c r="H138" t="s">
        <v>690</v>
      </c>
      <c r="I138">
        <v>2026</v>
      </c>
      <c r="J138" t="s">
        <v>90</v>
      </c>
      <c r="K138" t="s">
        <v>90</v>
      </c>
      <c r="L138" t="s">
        <v>90</v>
      </c>
      <c r="M138" t="s">
        <v>90</v>
      </c>
      <c r="N138" s="73">
        <v>0</v>
      </c>
      <c r="O138" t="str">
        <f>IFERROR(VLOOKUP(Basef[[#This Row],[Regional]],Tabela11[],2,0),"Vago")</f>
        <v>Liliane</v>
      </c>
      <c r="P138" t="str">
        <f>Basef[[#This Row],[Regional]]</f>
        <v>São Luís</v>
      </c>
    </row>
    <row r="139" spans="1:16" x14ac:dyDescent="0.3">
      <c r="A139">
        <v>96</v>
      </c>
      <c r="B139" t="s">
        <v>661</v>
      </c>
      <c r="C139" t="s">
        <v>103</v>
      </c>
      <c r="D139" t="s">
        <v>627</v>
      </c>
      <c r="E139">
        <v>7562.08</v>
      </c>
      <c r="F139">
        <v>7562.08</v>
      </c>
      <c r="G139">
        <v>5000</v>
      </c>
      <c r="H139" t="s">
        <v>690</v>
      </c>
      <c r="I139">
        <v>2026</v>
      </c>
      <c r="J139" t="s">
        <v>549</v>
      </c>
      <c r="K139" t="s">
        <v>724</v>
      </c>
      <c r="L139" t="s">
        <v>724</v>
      </c>
      <c r="M139" t="s">
        <v>724</v>
      </c>
      <c r="N139" s="73">
        <v>0</v>
      </c>
      <c r="O139" t="str">
        <f>IFERROR(VLOOKUP(Basef[[#This Row],[Regional]],Tabela11[],2,0),"Vago")</f>
        <v>Liliane</v>
      </c>
      <c r="P139" t="str">
        <f>Basef[[#This Row],[Regional]]</f>
        <v>São Luís</v>
      </c>
    </row>
    <row r="140" spans="1:16" x14ac:dyDescent="0.3">
      <c r="A140">
        <v>201</v>
      </c>
      <c r="B140" t="s">
        <v>657</v>
      </c>
      <c r="C140" t="s">
        <v>103</v>
      </c>
      <c r="D140" t="s">
        <v>92</v>
      </c>
      <c r="E140">
        <v>53223.57</v>
      </c>
      <c r="F140">
        <v>53223.57</v>
      </c>
      <c r="G140">
        <v>52500</v>
      </c>
      <c r="H140" t="s">
        <v>690</v>
      </c>
      <c r="I140">
        <v>2026</v>
      </c>
      <c r="J140" t="s">
        <v>90</v>
      </c>
      <c r="K140" t="s">
        <v>90</v>
      </c>
      <c r="L140" t="s">
        <v>90</v>
      </c>
      <c r="M140" t="s">
        <v>90</v>
      </c>
      <c r="N140" s="73">
        <v>0</v>
      </c>
      <c r="O140" t="str">
        <f>IFERROR(VLOOKUP(Basef[[#This Row],[Regional]],Tabela11[],2,0),"Vago")</f>
        <v>Liliane</v>
      </c>
      <c r="P140" t="str">
        <f>Basef[[#This Row],[Regional]]</f>
        <v>São Luís</v>
      </c>
    </row>
    <row r="141" spans="1:16" x14ac:dyDescent="0.3">
      <c r="A141">
        <v>232</v>
      </c>
      <c r="B141" t="s">
        <v>675</v>
      </c>
      <c r="C141" t="s">
        <v>103</v>
      </c>
      <c r="D141" t="s">
        <v>93</v>
      </c>
      <c r="E141">
        <v>864.51</v>
      </c>
      <c r="F141">
        <v>864.51</v>
      </c>
      <c r="G141">
        <v>3000</v>
      </c>
      <c r="H141" t="s">
        <v>690</v>
      </c>
      <c r="I141">
        <v>2026</v>
      </c>
      <c r="J141" t="s">
        <v>357</v>
      </c>
      <c r="K141" t="s">
        <v>423</v>
      </c>
      <c r="L141" t="s">
        <v>423</v>
      </c>
      <c r="M141" t="s">
        <v>423</v>
      </c>
      <c r="N141" s="73">
        <v>0</v>
      </c>
      <c r="O141" t="str">
        <f>IFERROR(VLOOKUP(Basef[[#This Row],[Regional]],Tabela11[],2,0),"Vago")</f>
        <v>Liliane</v>
      </c>
      <c r="P141" t="str">
        <f>Basef[[#This Row],[Regional]]</f>
        <v>São Luís</v>
      </c>
    </row>
    <row r="142" spans="1:16" x14ac:dyDescent="0.3">
      <c r="A142">
        <v>411</v>
      </c>
      <c r="B142" t="s">
        <v>209</v>
      </c>
      <c r="C142" t="s">
        <v>103</v>
      </c>
      <c r="D142" t="s">
        <v>92</v>
      </c>
      <c r="E142">
        <v>6865.03</v>
      </c>
      <c r="F142">
        <v>6865.03</v>
      </c>
      <c r="G142">
        <v>11000</v>
      </c>
      <c r="H142" t="s">
        <v>690</v>
      </c>
      <c r="I142">
        <v>2026</v>
      </c>
      <c r="J142" t="s">
        <v>71</v>
      </c>
      <c r="K142" t="s">
        <v>596</v>
      </c>
      <c r="L142" t="s">
        <v>596</v>
      </c>
      <c r="M142" t="s">
        <v>596</v>
      </c>
      <c r="N142" s="73">
        <v>0</v>
      </c>
      <c r="O142" t="str">
        <f>IFERROR(VLOOKUP(Basef[[#This Row],[Regional]],Tabela11[],2,0),"Vago")</f>
        <v>Liliane</v>
      </c>
      <c r="P142" t="str">
        <f>Basef[[#This Row],[Regional]]</f>
        <v>São Luís</v>
      </c>
    </row>
    <row r="143" spans="1:16" x14ac:dyDescent="0.3">
      <c r="A143">
        <v>502</v>
      </c>
      <c r="B143" t="s">
        <v>678</v>
      </c>
      <c r="C143" t="s">
        <v>103</v>
      </c>
      <c r="D143" t="s">
        <v>3</v>
      </c>
      <c r="E143">
        <v>30417.24</v>
      </c>
      <c r="F143">
        <v>30417.24</v>
      </c>
      <c r="G143">
        <v>32000</v>
      </c>
      <c r="H143" t="s">
        <v>690</v>
      </c>
      <c r="I143">
        <v>2026</v>
      </c>
      <c r="J143" t="s">
        <v>90</v>
      </c>
      <c r="K143" t="s">
        <v>90</v>
      </c>
      <c r="L143" t="s">
        <v>90</v>
      </c>
      <c r="M143" t="s">
        <v>90</v>
      </c>
      <c r="N143" s="73">
        <v>887.02</v>
      </c>
      <c r="O143" t="str">
        <f>IFERROR(VLOOKUP(Basef[[#This Row],[Regional]],Tabela11[],2,0),"Vago")</f>
        <v>Liliane</v>
      </c>
      <c r="P143" t="str">
        <f>Basef[[#This Row],[Regional]]</f>
        <v>São Luís</v>
      </c>
    </row>
    <row r="144" spans="1:16" x14ac:dyDescent="0.3">
      <c r="A144">
        <v>8</v>
      </c>
      <c r="B144" t="s">
        <v>672</v>
      </c>
      <c r="C144" t="s">
        <v>103</v>
      </c>
      <c r="D144" t="s">
        <v>92</v>
      </c>
      <c r="E144">
        <v>21515.42</v>
      </c>
      <c r="F144">
        <v>21515.42</v>
      </c>
      <c r="G144">
        <v>22000</v>
      </c>
      <c r="H144" t="s">
        <v>690</v>
      </c>
      <c r="I144">
        <v>2026</v>
      </c>
      <c r="J144" t="s">
        <v>357</v>
      </c>
      <c r="K144" t="s">
        <v>423</v>
      </c>
      <c r="L144" t="s">
        <v>423</v>
      </c>
      <c r="M144" t="s">
        <v>423</v>
      </c>
      <c r="N144" s="73">
        <v>0</v>
      </c>
      <c r="O144" t="str">
        <f>IFERROR(VLOOKUP(Basef[[#This Row],[Regional]],Tabela11[],2,0),"Vago")</f>
        <v>Liliane</v>
      </c>
      <c r="P144" t="str">
        <f>Basef[[#This Row],[Regional]]</f>
        <v>São Luís</v>
      </c>
    </row>
    <row r="145" spans="1:16" x14ac:dyDescent="0.3">
      <c r="A145">
        <v>16</v>
      </c>
      <c r="B145" t="s">
        <v>665</v>
      </c>
      <c r="C145" t="s">
        <v>103</v>
      </c>
      <c r="D145" t="s">
        <v>93</v>
      </c>
      <c r="E145">
        <v>13537.06</v>
      </c>
      <c r="F145">
        <v>13537.06</v>
      </c>
      <c r="G145">
        <v>11500</v>
      </c>
      <c r="H145" t="s">
        <v>690</v>
      </c>
      <c r="I145">
        <v>2026</v>
      </c>
      <c r="J145" t="s">
        <v>71</v>
      </c>
      <c r="K145" t="s">
        <v>596</v>
      </c>
      <c r="L145" t="s">
        <v>596</v>
      </c>
      <c r="M145" t="s">
        <v>596</v>
      </c>
      <c r="N145" s="73">
        <v>0</v>
      </c>
      <c r="O145" t="str">
        <f>IFERROR(VLOOKUP(Basef[[#This Row],[Regional]],Tabela11[],2,0),"Vago")</f>
        <v>Liliane</v>
      </c>
      <c r="P145" t="str">
        <f>Basef[[#This Row],[Regional]]</f>
        <v>São Luís</v>
      </c>
    </row>
    <row r="146" spans="1:16" x14ac:dyDescent="0.3">
      <c r="A146">
        <v>7</v>
      </c>
      <c r="B146" t="s">
        <v>628</v>
      </c>
      <c r="C146" t="s">
        <v>103</v>
      </c>
      <c r="D146" t="s">
        <v>627</v>
      </c>
      <c r="E146">
        <v>2092.66</v>
      </c>
      <c r="F146">
        <v>2092.66</v>
      </c>
      <c r="G146">
        <v>10000</v>
      </c>
      <c r="H146" t="s">
        <v>690</v>
      </c>
      <c r="I146">
        <v>2026</v>
      </c>
      <c r="J146" t="s">
        <v>356</v>
      </c>
      <c r="K146" t="s">
        <v>356</v>
      </c>
      <c r="L146" t="s">
        <v>356</v>
      </c>
      <c r="M146" t="s">
        <v>356</v>
      </c>
      <c r="N146" s="73">
        <v>0</v>
      </c>
      <c r="O146" t="str">
        <f>IFERROR(VLOOKUP(Basef[[#This Row],[Regional]],Tabela11[],2,0),"Vago")</f>
        <v>Liliane</v>
      </c>
      <c r="P146" t="str">
        <f>Basef[[#This Row],[Regional]]</f>
        <v>São Luís</v>
      </c>
    </row>
    <row r="147" spans="1:16" x14ac:dyDescent="0.3">
      <c r="A147">
        <v>539</v>
      </c>
      <c r="B147" t="s">
        <v>642</v>
      </c>
      <c r="C147" t="s">
        <v>103</v>
      </c>
      <c r="D147" t="s">
        <v>92</v>
      </c>
      <c r="E147">
        <v>27662.959999999999</v>
      </c>
      <c r="F147">
        <v>27662.959999999999</v>
      </c>
      <c r="G147">
        <v>46000</v>
      </c>
      <c r="H147" t="s">
        <v>690</v>
      </c>
      <c r="I147">
        <v>2026</v>
      </c>
      <c r="J147" t="s">
        <v>549</v>
      </c>
      <c r="K147" t="s">
        <v>724</v>
      </c>
      <c r="L147" t="s">
        <v>724</v>
      </c>
      <c r="M147" t="s">
        <v>724</v>
      </c>
      <c r="N147" s="73">
        <v>0</v>
      </c>
      <c r="O147" t="str">
        <f>IFERROR(VLOOKUP(Basef[[#This Row],[Regional]],Tabela11[],2,0),"Vago")</f>
        <v>Liliane</v>
      </c>
      <c r="P147" t="str">
        <f>Basef[[#This Row],[Regional]]</f>
        <v>São Luís</v>
      </c>
    </row>
    <row r="148" spans="1:16" x14ac:dyDescent="0.3">
      <c r="A148">
        <v>410</v>
      </c>
      <c r="B148" t="s">
        <v>207</v>
      </c>
      <c r="C148" t="s">
        <v>103</v>
      </c>
      <c r="D148" t="s">
        <v>3</v>
      </c>
      <c r="E148">
        <v>20038.21</v>
      </c>
      <c r="F148">
        <v>20038.21</v>
      </c>
      <c r="G148">
        <v>22000</v>
      </c>
      <c r="H148" t="s">
        <v>690</v>
      </c>
      <c r="I148">
        <v>2026</v>
      </c>
      <c r="J148" t="s">
        <v>90</v>
      </c>
      <c r="K148" t="s">
        <v>90</v>
      </c>
      <c r="L148" t="s">
        <v>90</v>
      </c>
      <c r="M148" t="s">
        <v>90</v>
      </c>
      <c r="N148" s="73">
        <v>77.19</v>
      </c>
      <c r="O148" t="str">
        <f>IFERROR(VLOOKUP(Basef[[#This Row],[Regional]],Tabela11[],2,0),"Vago")</f>
        <v>Liliane</v>
      </c>
      <c r="P148" t="str">
        <f>Basef[[#This Row],[Regional]]</f>
        <v>São Luís</v>
      </c>
    </row>
    <row r="149" spans="1:16" x14ac:dyDescent="0.3">
      <c r="A149">
        <v>502</v>
      </c>
      <c r="B149" t="s">
        <v>678</v>
      </c>
      <c r="C149" t="s">
        <v>103</v>
      </c>
      <c r="D149" t="s">
        <v>627</v>
      </c>
      <c r="E149">
        <v>81.34</v>
      </c>
      <c r="F149">
        <v>81.34</v>
      </c>
      <c r="G149">
        <v>3000</v>
      </c>
      <c r="H149" t="s">
        <v>690</v>
      </c>
      <c r="I149">
        <v>2026</v>
      </c>
      <c r="J149" t="s">
        <v>90</v>
      </c>
      <c r="K149" t="s">
        <v>90</v>
      </c>
      <c r="L149" t="s">
        <v>90</v>
      </c>
      <c r="M149" t="s">
        <v>90</v>
      </c>
      <c r="N149" s="73">
        <v>0</v>
      </c>
      <c r="O149" t="str">
        <f>IFERROR(VLOOKUP(Basef[[#This Row],[Regional]],Tabela11[],2,0),"Vago")</f>
        <v>Liliane</v>
      </c>
      <c r="P149" t="str">
        <f>Basef[[#This Row],[Regional]]</f>
        <v>São Luís</v>
      </c>
    </row>
    <row r="150" spans="1:16" x14ac:dyDescent="0.3">
      <c r="A150">
        <v>252</v>
      </c>
      <c r="B150" t="s">
        <v>691</v>
      </c>
      <c r="C150" t="s">
        <v>119</v>
      </c>
      <c r="D150" t="s">
        <v>93</v>
      </c>
      <c r="E150">
        <v>1467.74</v>
      </c>
      <c r="F150">
        <v>1467.74</v>
      </c>
      <c r="G150">
        <v>1500</v>
      </c>
      <c r="H150" t="s">
        <v>690</v>
      </c>
      <c r="I150">
        <v>2026</v>
      </c>
      <c r="N150" s="73">
        <v>0</v>
      </c>
      <c r="O150" t="str">
        <f>IFERROR(VLOOKUP(Basef[[#This Row],[Regional]],Tabela11[],2,0),"Vago")</f>
        <v>Vago</v>
      </c>
      <c r="P150" t="str">
        <f>Basef[[#This Row],[Regional]]</f>
        <v>Piauí</v>
      </c>
    </row>
    <row r="151" spans="1:16" x14ac:dyDescent="0.3">
      <c r="A151">
        <v>275</v>
      </c>
      <c r="B151" t="s">
        <v>693</v>
      </c>
      <c r="C151" t="s">
        <v>119</v>
      </c>
      <c r="D151" t="s">
        <v>3</v>
      </c>
      <c r="E151">
        <v>31020.04</v>
      </c>
      <c r="F151">
        <v>31020.04</v>
      </c>
      <c r="G151">
        <v>30000</v>
      </c>
      <c r="H151" t="s">
        <v>690</v>
      </c>
      <c r="I151">
        <v>2026</v>
      </c>
      <c r="J151" t="s">
        <v>694</v>
      </c>
      <c r="K151" t="s">
        <v>562</v>
      </c>
      <c r="L151" t="s">
        <v>562</v>
      </c>
      <c r="M151" t="s">
        <v>90</v>
      </c>
      <c r="N151" s="73">
        <v>1101.46</v>
      </c>
      <c r="O151" t="str">
        <f>IFERROR(VLOOKUP(Basef[[#This Row],[Regional]],Tabela11[],2,0),"Vago")</f>
        <v>Vago</v>
      </c>
      <c r="P151" t="str">
        <f>Basef[[#This Row],[Regional]]</f>
        <v>Piauí</v>
      </c>
    </row>
    <row r="152" spans="1:16" x14ac:dyDescent="0.3">
      <c r="A152">
        <v>41</v>
      </c>
      <c r="B152" t="s">
        <v>699</v>
      </c>
      <c r="C152" t="s">
        <v>119</v>
      </c>
      <c r="D152" t="s">
        <v>3</v>
      </c>
      <c r="E152">
        <v>27036.82</v>
      </c>
      <c r="F152">
        <v>27036.82</v>
      </c>
      <c r="G152">
        <v>50000</v>
      </c>
      <c r="H152" t="s">
        <v>690</v>
      </c>
      <c r="I152">
        <v>2026</v>
      </c>
      <c r="J152" t="s">
        <v>543</v>
      </c>
      <c r="K152" t="s">
        <v>90</v>
      </c>
      <c r="L152" t="s">
        <v>90</v>
      </c>
      <c r="M152" t="s">
        <v>90</v>
      </c>
      <c r="N152" s="73">
        <v>0</v>
      </c>
      <c r="O152" t="str">
        <f>IFERROR(VLOOKUP(Basef[[#This Row],[Regional]],Tabela11[],2,0),"Vago")</f>
        <v>Vago</v>
      </c>
      <c r="P152" t="str">
        <f>Basef[[#This Row],[Regional]]</f>
        <v>Piauí</v>
      </c>
    </row>
    <row r="153" spans="1:16" x14ac:dyDescent="0.3">
      <c r="A153">
        <v>271</v>
      </c>
      <c r="B153" t="s">
        <v>702</v>
      </c>
      <c r="C153" t="s">
        <v>119</v>
      </c>
      <c r="D153" t="s">
        <v>93</v>
      </c>
      <c r="E153">
        <v>37.71</v>
      </c>
      <c r="F153">
        <v>80.81</v>
      </c>
      <c r="G153">
        <v>1000</v>
      </c>
      <c r="H153" t="s">
        <v>690</v>
      </c>
      <c r="I153">
        <v>2026</v>
      </c>
      <c r="J153" t="s">
        <v>355</v>
      </c>
      <c r="K153" t="s">
        <v>90</v>
      </c>
      <c r="L153" t="s">
        <v>90</v>
      </c>
      <c r="M153" t="s">
        <v>90</v>
      </c>
      <c r="N153" s="73">
        <v>0</v>
      </c>
      <c r="O153" t="str">
        <f>IFERROR(VLOOKUP(Basef[[#This Row],[Regional]],Tabela11[],2,0),"Vago")</f>
        <v>Vago</v>
      </c>
      <c r="P153" t="str">
        <f>Basef[[#This Row],[Regional]]</f>
        <v>Piauí</v>
      </c>
    </row>
    <row r="154" spans="1:16" x14ac:dyDescent="0.3">
      <c r="A154">
        <v>41</v>
      </c>
      <c r="B154" t="s">
        <v>699</v>
      </c>
      <c r="C154" t="s">
        <v>119</v>
      </c>
      <c r="D154" t="s">
        <v>93</v>
      </c>
      <c r="E154">
        <v>268.26</v>
      </c>
      <c r="F154">
        <v>298.07</v>
      </c>
      <c r="G154">
        <v>1500</v>
      </c>
      <c r="H154" t="s">
        <v>690</v>
      </c>
      <c r="I154">
        <v>2026</v>
      </c>
      <c r="J154" t="s">
        <v>543</v>
      </c>
      <c r="K154" t="s">
        <v>90</v>
      </c>
      <c r="L154" t="s">
        <v>90</v>
      </c>
      <c r="M154" t="s">
        <v>90</v>
      </c>
      <c r="N154" s="73">
        <v>0</v>
      </c>
      <c r="O154" t="str">
        <f>IFERROR(VLOOKUP(Basef[[#This Row],[Regional]],Tabela11[],2,0),"Vago")</f>
        <v>Vago</v>
      </c>
      <c r="P154" t="str">
        <f>Basef[[#This Row],[Regional]]</f>
        <v>Piauí</v>
      </c>
    </row>
    <row r="155" spans="1:16" x14ac:dyDescent="0.3">
      <c r="A155">
        <v>252</v>
      </c>
      <c r="B155" t="s">
        <v>691</v>
      </c>
      <c r="C155" t="s">
        <v>119</v>
      </c>
      <c r="D155" t="s">
        <v>92</v>
      </c>
      <c r="E155">
        <v>2330.0700000000002</v>
      </c>
      <c r="F155">
        <v>2410.42</v>
      </c>
      <c r="G155">
        <v>28500</v>
      </c>
      <c r="H155" t="s">
        <v>690</v>
      </c>
      <c r="I155">
        <v>2026</v>
      </c>
      <c r="J155" t="s">
        <v>692</v>
      </c>
      <c r="K155" t="s">
        <v>562</v>
      </c>
      <c r="L155" t="s">
        <v>562</v>
      </c>
      <c r="M155" t="s">
        <v>90</v>
      </c>
      <c r="N155" s="73">
        <v>0</v>
      </c>
      <c r="O155" t="str">
        <f>IFERROR(VLOOKUP(Basef[[#This Row],[Regional]],Tabela11[],2,0),"Vago")</f>
        <v>Vago</v>
      </c>
      <c r="P155" t="str">
        <f>Basef[[#This Row],[Regional]]</f>
        <v>Piauí</v>
      </c>
    </row>
    <row r="156" spans="1:16" x14ac:dyDescent="0.3">
      <c r="A156">
        <v>251</v>
      </c>
      <c r="B156" t="s">
        <v>705</v>
      </c>
      <c r="C156" t="s">
        <v>119</v>
      </c>
      <c r="D156" t="s">
        <v>3</v>
      </c>
      <c r="E156">
        <v>32159.64</v>
      </c>
      <c r="F156">
        <v>32159.64</v>
      </c>
      <c r="G156">
        <v>50000</v>
      </c>
      <c r="H156" t="s">
        <v>690</v>
      </c>
      <c r="I156">
        <v>2026</v>
      </c>
      <c r="J156" t="s">
        <v>706</v>
      </c>
      <c r="K156" t="s">
        <v>90</v>
      </c>
      <c r="L156" t="s">
        <v>90</v>
      </c>
      <c r="M156" t="s">
        <v>90</v>
      </c>
      <c r="N156" s="73">
        <v>1432.78</v>
      </c>
      <c r="O156" t="str">
        <f>IFERROR(VLOOKUP(Basef[[#This Row],[Regional]],Tabela11[],2,0),"Vago")</f>
        <v>Vago</v>
      </c>
      <c r="P156" t="str">
        <f>Basef[[#This Row],[Regional]]</f>
        <v>Piauí</v>
      </c>
    </row>
    <row r="157" spans="1:16" x14ac:dyDescent="0.3">
      <c r="A157">
        <v>271</v>
      </c>
      <c r="B157" t="s">
        <v>702</v>
      </c>
      <c r="C157" t="s">
        <v>119</v>
      </c>
      <c r="D157" t="s">
        <v>3</v>
      </c>
      <c r="E157">
        <v>25623.439999999999</v>
      </c>
      <c r="F157">
        <v>25623.439999999999</v>
      </c>
      <c r="G157">
        <v>50000</v>
      </c>
      <c r="H157" t="s">
        <v>690</v>
      </c>
      <c r="I157">
        <v>2026</v>
      </c>
      <c r="J157" t="s">
        <v>355</v>
      </c>
      <c r="K157" t="s">
        <v>90</v>
      </c>
      <c r="L157" t="s">
        <v>90</v>
      </c>
      <c r="M157" t="s">
        <v>90</v>
      </c>
      <c r="N157" s="73">
        <v>1179.1300000000001</v>
      </c>
      <c r="O157" t="str">
        <f>IFERROR(VLOOKUP(Basef[[#This Row],[Regional]],Tabela11[],2,0),"Vago")</f>
        <v>Vago</v>
      </c>
      <c r="P157" t="str">
        <f>Basef[[#This Row],[Regional]]</f>
        <v>Piauí</v>
      </c>
    </row>
    <row r="158" spans="1:16" x14ac:dyDescent="0.3">
      <c r="A158">
        <v>32</v>
      </c>
      <c r="B158" t="s">
        <v>711</v>
      </c>
      <c r="C158" t="s">
        <v>119</v>
      </c>
      <c r="D158" t="s">
        <v>93</v>
      </c>
      <c r="E158">
        <v>211.42</v>
      </c>
      <c r="F158">
        <v>576.6</v>
      </c>
      <c r="G158">
        <v>1000</v>
      </c>
      <c r="H158" t="s">
        <v>690</v>
      </c>
      <c r="I158">
        <v>2026</v>
      </c>
      <c r="J158" t="s">
        <v>694</v>
      </c>
      <c r="K158" t="s">
        <v>562</v>
      </c>
      <c r="L158" t="s">
        <v>562</v>
      </c>
      <c r="M158" t="s">
        <v>90</v>
      </c>
      <c r="N158" s="73">
        <v>0</v>
      </c>
      <c r="O158" t="str">
        <f>IFERROR(VLOOKUP(Basef[[#This Row],[Regional]],Tabela11[],2,0),"Vago")</f>
        <v>Vago</v>
      </c>
      <c r="P158" t="str">
        <f>Basef[[#This Row],[Regional]]</f>
        <v>Piauí</v>
      </c>
    </row>
    <row r="159" spans="1:16" x14ac:dyDescent="0.3">
      <c r="A159">
        <v>251</v>
      </c>
      <c r="B159" t="s">
        <v>705</v>
      </c>
      <c r="C159" t="s">
        <v>119</v>
      </c>
      <c r="D159" t="s">
        <v>92</v>
      </c>
      <c r="E159">
        <v>51.96</v>
      </c>
      <c r="F159">
        <v>519.6</v>
      </c>
      <c r="G159">
        <v>45000</v>
      </c>
      <c r="H159" t="s">
        <v>690</v>
      </c>
      <c r="I159">
        <v>2026</v>
      </c>
      <c r="J159" t="s">
        <v>706</v>
      </c>
      <c r="K159" t="s">
        <v>90</v>
      </c>
      <c r="L159" t="s">
        <v>90</v>
      </c>
      <c r="M159" t="s">
        <v>90</v>
      </c>
      <c r="N159" s="73">
        <v>0</v>
      </c>
      <c r="O159" t="str">
        <f>IFERROR(VLOOKUP(Basef[[#This Row],[Regional]],Tabela11[],2,0),"Vago")</f>
        <v>Vago</v>
      </c>
      <c r="P159" t="str">
        <f>Basef[[#This Row],[Regional]]</f>
        <v>Piauí</v>
      </c>
    </row>
    <row r="160" spans="1:16" x14ac:dyDescent="0.3">
      <c r="A160">
        <v>275</v>
      </c>
      <c r="B160" t="s">
        <v>693</v>
      </c>
      <c r="C160" t="s">
        <v>119</v>
      </c>
      <c r="D160" t="s">
        <v>93</v>
      </c>
      <c r="E160">
        <v>251</v>
      </c>
      <c r="F160">
        <v>251</v>
      </c>
      <c r="G160">
        <v>1000</v>
      </c>
      <c r="H160" t="s">
        <v>690</v>
      </c>
      <c r="I160">
        <v>2026</v>
      </c>
      <c r="J160" t="s">
        <v>694</v>
      </c>
      <c r="K160" t="s">
        <v>562</v>
      </c>
      <c r="L160" t="s">
        <v>562</v>
      </c>
      <c r="M160" t="s">
        <v>90</v>
      </c>
      <c r="N160" s="73">
        <v>0</v>
      </c>
      <c r="O160" t="str">
        <f>IFERROR(VLOOKUP(Basef[[#This Row],[Regional]],Tabela11[],2,0),"Vago")</f>
        <v>Vago</v>
      </c>
      <c r="P160" t="str">
        <f>Basef[[#This Row],[Regional]]</f>
        <v>Piauí</v>
      </c>
    </row>
    <row r="161" spans="1:16" x14ac:dyDescent="0.3">
      <c r="A161">
        <v>258</v>
      </c>
      <c r="B161" t="s">
        <v>713</v>
      </c>
      <c r="C161" t="s">
        <v>119</v>
      </c>
      <c r="D161" t="s">
        <v>3</v>
      </c>
      <c r="E161">
        <v>75361.2</v>
      </c>
      <c r="F161">
        <v>75361.2</v>
      </c>
      <c r="G161">
        <v>81500</v>
      </c>
      <c r="H161" t="s">
        <v>690</v>
      </c>
      <c r="I161">
        <v>2026</v>
      </c>
      <c r="J161" t="s">
        <v>692</v>
      </c>
      <c r="K161" t="s">
        <v>562</v>
      </c>
      <c r="L161" t="s">
        <v>562</v>
      </c>
      <c r="M161" t="s">
        <v>90</v>
      </c>
      <c r="N161" s="73">
        <v>2133.7199999999998</v>
      </c>
      <c r="O161" t="str">
        <f>IFERROR(VLOOKUP(Basef[[#This Row],[Regional]],Tabela11[],2,0),"Vago")</f>
        <v>Vago</v>
      </c>
      <c r="P161" t="str">
        <f>Basef[[#This Row],[Regional]]</f>
        <v>Piauí</v>
      </c>
    </row>
    <row r="162" spans="1:16" x14ac:dyDescent="0.3">
      <c r="A162">
        <v>32</v>
      </c>
      <c r="B162" t="s">
        <v>711</v>
      </c>
      <c r="C162" t="s">
        <v>119</v>
      </c>
      <c r="D162" t="s">
        <v>92</v>
      </c>
      <c r="E162">
        <v>6720.09</v>
      </c>
      <c r="F162">
        <v>12600.17</v>
      </c>
      <c r="G162">
        <v>15000</v>
      </c>
      <c r="H162" t="s">
        <v>690</v>
      </c>
      <c r="I162">
        <v>2026</v>
      </c>
      <c r="J162" t="s">
        <v>694</v>
      </c>
      <c r="K162" t="s">
        <v>562</v>
      </c>
      <c r="L162" t="s">
        <v>562</v>
      </c>
      <c r="M162" t="s">
        <v>90</v>
      </c>
      <c r="N162" s="73">
        <v>0</v>
      </c>
      <c r="O162" t="str">
        <f>IFERROR(VLOOKUP(Basef[[#This Row],[Regional]],Tabela11[],2,0),"Vago")</f>
        <v>Vago</v>
      </c>
      <c r="P162" t="str">
        <f>Basef[[#This Row],[Regional]]</f>
        <v>Piauí</v>
      </c>
    </row>
    <row r="163" spans="1:16" x14ac:dyDescent="0.3">
      <c r="A163">
        <v>97</v>
      </c>
      <c r="B163" t="s">
        <v>721</v>
      </c>
      <c r="C163" t="s">
        <v>119</v>
      </c>
      <c r="D163" t="s">
        <v>93</v>
      </c>
      <c r="E163">
        <v>527.29</v>
      </c>
      <c r="F163">
        <v>545.47</v>
      </c>
      <c r="G163">
        <v>1000</v>
      </c>
      <c r="H163" t="s">
        <v>690</v>
      </c>
      <c r="I163">
        <v>2026</v>
      </c>
      <c r="J163" t="s">
        <v>694</v>
      </c>
      <c r="K163" t="s">
        <v>562</v>
      </c>
      <c r="L163" t="s">
        <v>562</v>
      </c>
      <c r="M163" t="s">
        <v>90</v>
      </c>
      <c r="N163" s="73">
        <v>0</v>
      </c>
      <c r="O163" t="str">
        <f>IFERROR(VLOOKUP(Basef[[#This Row],[Regional]],Tabela11[],2,0),"Vago")</f>
        <v>Vago</v>
      </c>
      <c r="P163" t="str">
        <f>Basef[[#This Row],[Regional]]</f>
        <v>Piauí</v>
      </c>
    </row>
    <row r="164" spans="1:16" x14ac:dyDescent="0.3">
      <c r="A164">
        <v>97</v>
      </c>
      <c r="B164" t="s">
        <v>721</v>
      </c>
      <c r="C164" t="s">
        <v>119</v>
      </c>
      <c r="D164" t="s">
        <v>92</v>
      </c>
      <c r="E164">
        <v>2768.68</v>
      </c>
      <c r="F164">
        <v>8306.0400000000009</v>
      </c>
      <c r="G164">
        <v>15000</v>
      </c>
      <c r="H164" t="s">
        <v>690</v>
      </c>
      <c r="I164">
        <v>2026</v>
      </c>
      <c r="J164" t="s">
        <v>694</v>
      </c>
      <c r="K164" t="s">
        <v>562</v>
      </c>
      <c r="L164" t="s">
        <v>562</v>
      </c>
      <c r="M164" t="s">
        <v>90</v>
      </c>
      <c r="N164" s="73">
        <v>0</v>
      </c>
      <c r="O164" t="str">
        <f>IFERROR(VLOOKUP(Basef[[#This Row],[Regional]],Tabela11[],2,0),"Vago")</f>
        <v>Vago</v>
      </c>
      <c r="P164" t="str">
        <f>Basef[[#This Row],[Regional]]</f>
        <v>Piauí</v>
      </c>
    </row>
    <row r="165" spans="1:16" x14ac:dyDescent="0.3">
      <c r="A165">
        <v>258</v>
      </c>
      <c r="B165" t="s">
        <v>713</v>
      </c>
      <c r="C165" t="s">
        <v>119</v>
      </c>
      <c r="D165" t="s">
        <v>627</v>
      </c>
      <c r="E165">
        <v>2988.35</v>
      </c>
      <c r="F165">
        <v>2988.35</v>
      </c>
      <c r="G165">
        <v>5500</v>
      </c>
      <c r="H165" t="s">
        <v>690</v>
      </c>
      <c r="I165">
        <v>2026</v>
      </c>
      <c r="J165" t="s">
        <v>692</v>
      </c>
      <c r="K165" t="s">
        <v>562</v>
      </c>
      <c r="L165" t="s">
        <v>562</v>
      </c>
      <c r="M165" t="s">
        <v>90</v>
      </c>
      <c r="N165" s="73">
        <v>0</v>
      </c>
      <c r="O165" t="str">
        <f>IFERROR(VLOOKUP(Basef[[#This Row],[Regional]],Tabela11[],2,0),"Vago")</f>
        <v>Vago</v>
      </c>
      <c r="P165" t="str">
        <f>Basef[[#This Row],[Regional]]</f>
        <v>Piauí</v>
      </c>
    </row>
    <row r="166" spans="1:16" x14ac:dyDescent="0.3">
      <c r="A166">
        <v>251</v>
      </c>
      <c r="B166" t="s">
        <v>705</v>
      </c>
      <c r="C166" t="s">
        <v>119</v>
      </c>
      <c r="D166" t="s">
        <v>93</v>
      </c>
      <c r="E166">
        <v>590.37</v>
      </c>
      <c r="F166">
        <v>590.37</v>
      </c>
      <c r="G166">
        <v>1000</v>
      </c>
      <c r="H166" t="s">
        <v>690</v>
      </c>
      <c r="I166">
        <v>2026</v>
      </c>
      <c r="J166" t="s">
        <v>706</v>
      </c>
      <c r="K166" t="s">
        <v>90</v>
      </c>
      <c r="L166" t="s">
        <v>90</v>
      </c>
      <c r="M166" t="s">
        <v>90</v>
      </c>
      <c r="N166" s="73">
        <v>0</v>
      </c>
      <c r="O166" t="str">
        <f>IFERROR(VLOOKUP(Basef[[#This Row],[Regional]],Tabela11[],2,0),"Vago")</f>
        <v>Vago</v>
      </c>
      <c r="P166" t="str">
        <f>Basef[[#This Row],[Regional]]</f>
        <v>Piauí</v>
      </c>
    </row>
    <row r="167" spans="1:16" x14ac:dyDescent="0.3">
      <c r="A167">
        <v>258</v>
      </c>
      <c r="B167" t="s">
        <v>713</v>
      </c>
      <c r="C167" t="s">
        <v>119</v>
      </c>
      <c r="D167" t="s">
        <v>93</v>
      </c>
      <c r="E167">
        <v>12032.66</v>
      </c>
      <c r="F167">
        <v>12032.66</v>
      </c>
      <c r="G167">
        <v>4000</v>
      </c>
      <c r="H167" t="s">
        <v>690</v>
      </c>
      <c r="I167">
        <v>2026</v>
      </c>
      <c r="J167" t="s">
        <v>692</v>
      </c>
      <c r="K167" t="s">
        <v>562</v>
      </c>
      <c r="L167" t="s">
        <v>562</v>
      </c>
      <c r="M167" t="s">
        <v>90</v>
      </c>
      <c r="N167" s="73">
        <v>0</v>
      </c>
      <c r="O167" t="str">
        <f>IFERROR(VLOOKUP(Basef[[#This Row],[Regional]],Tabela11[],2,0),"Vago")</f>
        <v>Vago</v>
      </c>
      <c r="P167" t="str">
        <f>Basef[[#This Row],[Regional]]</f>
        <v>Piauí</v>
      </c>
    </row>
    <row r="168" spans="1:16" x14ac:dyDescent="0.3">
      <c r="A168">
        <v>252</v>
      </c>
      <c r="B168" t="s">
        <v>691</v>
      </c>
      <c r="C168" t="s">
        <v>119</v>
      </c>
      <c r="D168" t="s">
        <v>3</v>
      </c>
      <c r="E168">
        <v>37497.089999999997</v>
      </c>
      <c r="F168">
        <v>37497.089999999997</v>
      </c>
      <c r="G168">
        <v>45000</v>
      </c>
      <c r="H168" t="s">
        <v>690</v>
      </c>
      <c r="I168">
        <v>2026</v>
      </c>
      <c r="J168" t="s">
        <v>692</v>
      </c>
      <c r="K168" t="s">
        <v>562</v>
      </c>
      <c r="L168" t="s">
        <v>562</v>
      </c>
      <c r="M168" t="s">
        <v>90</v>
      </c>
      <c r="N168" s="73">
        <v>843.49</v>
      </c>
      <c r="O168" t="str">
        <f>IFERROR(VLOOKUP(Basef[[#This Row],[Regional]],Tabela11[],2,0),"Vago")</f>
        <v>Vago</v>
      </c>
      <c r="P168" t="str">
        <f>Basef[[#This Row],[Regional]]</f>
        <v>Piauí</v>
      </c>
    </row>
    <row r="169" spans="1:16" x14ac:dyDescent="0.3">
      <c r="A169">
        <v>258</v>
      </c>
      <c r="B169" t="s">
        <v>713</v>
      </c>
      <c r="C169" t="s">
        <v>119</v>
      </c>
      <c r="D169" t="s">
        <v>92</v>
      </c>
      <c r="E169">
        <v>18199.95</v>
      </c>
      <c r="F169">
        <v>18199.95</v>
      </c>
      <c r="G169">
        <v>50000</v>
      </c>
      <c r="H169" t="s">
        <v>690</v>
      </c>
      <c r="I169">
        <v>2026</v>
      </c>
      <c r="J169" t="s">
        <v>692</v>
      </c>
      <c r="K169" t="s">
        <v>562</v>
      </c>
      <c r="L169" t="s">
        <v>562</v>
      </c>
      <c r="M169" t="s">
        <v>90</v>
      </c>
      <c r="N169" s="73">
        <v>0</v>
      </c>
      <c r="O169" t="str">
        <f>IFERROR(VLOOKUP(Basef[[#This Row],[Regional]],Tabela11[],2,0),"Vago")</f>
        <v>Vago</v>
      </c>
      <c r="P169" t="str">
        <f>Basef[[#This Row],[Regional]]</f>
        <v>Piauí</v>
      </c>
    </row>
    <row r="170" spans="1:16" x14ac:dyDescent="0.3">
      <c r="A170">
        <v>32</v>
      </c>
      <c r="B170" t="s">
        <v>711</v>
      </c>
      <c r="C170" t="s">
        <v>119</v>
      </c>
      <c r="D170" t="s">
        <v>3</v>
      </c>
      <c r="E170">
        <v>35734.86</v>
      </c>
      <c r="F170">
        <v>35734.86</v>
      </c>
      <c r="G170">
        <v>35000</v>
      </c>
      <c r="H170" t="s">
        <v>690</v>
      </c>
      <c r="I170">
        <v>2026</v>
      </c>
      <c r="J170" t="s">
        <v>694</v>
      </c>
      <c r="K170" t="s">
        <v>562</v>
      </c>
      <c r="L170" t="s">
        <v>562</v>
      </c>
      <c r="M170" t="s">
        <v>90</v>
      </c>
      <c r="N170" s="73">
        <v>948.66000000000008</v>
      </c>
      <c r="O170" t="str">
        <f>IFERROR(VLOOKUP(Basef[[#This Row],[Regional]],Tabela11[],2,0),"Vago")</f>
        <v>Vago</v>
      </c>
      <c r="P170" t="str">
        <f>Basef[[#This Row],[Regional]]</f>
        <v>Piauí</v>
      </c>
    </row>
    <row r="171" spans="1:16" x14ac:dyDescent="0.3">
      <c r="A171">
        <v>97</v>
      </c>
      <c r="B171" t="s">
        <v>721</v>
      </c>
      <c r="C171" t="s">
        <v>119</v>
      </c>
      <c r="D171" t="s">
        <v>3</v>
      </c>
      <c r="E171">
        <v>51385.96</v>
      </c>
      <c r="F171">
        <v>51385.96</v>
      </c>
      <c r="G171">
        <v>48000</v>
      </c>
      <c r="H171" t="s">
        <v>690</v>
      </c>
      <c r="I171">
        <v>2026</v>
      </c>
      <c r="J171" t="s">
        <v>694</v>
      </c>
      <c r="K171" t="s">
        <v>562</v>
      </c>
      <c r="L171" t="s">
        <v>562</v>
      </c>
      <c r="M171" t="s">
        <v>90</v>
      </c>
      <c r="N171" s="73">
        <v>627.4</v>
      </c>
      <c r="O171" t="str">
        <f>IFERROR(VLOOKUP(Basef[[#This Row],[Regional]],Tabela11[],2,0),"Vago")</f>
        <v>Vago</v>
      </c>
      <c r="P171" t="str">
        <f>Basef[[#This Row],[Regional]]</f>
        <v>Piauí</v>
      </c>
    </row>
    <row r="172" spans="1:16" x14ac:dyDescent="0.3">
      <c r="A172">
        <v>24</v>
      </c>
      <c r="B172" t="s">
        <v>667</v>
      </c>
      <c r="C172" t="s">
        <v>259</v>
      </c>
      <c r="D172" t="s">
        <v>93</v>
      </c>
      <c r="E172">
        <v>1365.32</v>
      </c>
      <c r="F172">
        <v>1365.32</v>
      </c>
      <c r="G172">
        <v>1500</v>
      </c>
      <c r="H172" t="s">
        <v>690</v>
      </c>
      <c r="I172">
        <v>2026</v>
      </c>
      <c r="J172" t="s">
        <v>566</v>
      </c>
      <c r="K172" t="s">
        <v>566</v>
      </c>
      <c r="L172" t="s">
        <v>566</v>
      </c>
      <c r="M172" t="s">
        <v>90</v>
      </c>
      <c r="N172" s="73">
        <v>0</v>
      </c>
      <c r="O172" t="str">
        <f>IFERROR(VLOOKUP(Basef[[#This Row],[Regional]],Tabela11[],2,0),"Vago")</f>
        <v>Renan</v>
      </c>
      <c r="P172" t="str">
        <f>Basef[[#This Row],[Regional]]</f>
        <v>Pará Sul</v>
      </c>
    </row>
    <row r="173" spans="1:16" x14ac:dyDescent="0.3">
      <c r="A173">
        <v>26</v>
      </c>
      <c r="B173" t="s">
        <v>636</v>
      </c>
      <c r="C173" t="s">
        <v>259</v>
      </c>
      <c r="D173" t="s">
        <v>92</v>
      </c>
      <c r="E173">
        <v>28734.93</v>
      </c>
      <c r="F173">
        <v>28734.93</v>
      </c>
      <c r="G173">
        <v>45000</v>
      </c>
      <c r="H173" t="s">
        <v>690</v>
      </c>
      <c r="I173">
        <v>2026</v>
      </c>
      <c r="J173" t="s">
        <v>566</v>
      </c>
      <c r="K173" t="s">
        <v>566</v>
      </c>
      <c r="L173" t="s">
        <v>566</v>
      </c>
      <c r="M173" t="s">
        <v>90</v>
      </c>
      <c r="N173" s="73">
        <v>0</v>
      </c>
      <c r="O173" t="str">
        <f>IFERROR(VLOOKUP(Basef[[#This Row],[Regional]],Tabela11[],2,0),"Vago")</f>
        <v>Renan</v>
      </c>
      <c r="P173" t="str">
        <f>Basef[[#This Row],[Regional]]</f>
        <v>Pará Sul</v>
      </c>
    </row>
    <row r="174" spans="1:16" x14ac:dyDescent="0.3">
      <c r="A174">
        <v>208</v>
      </c>
      <c r="B174" t="s">
        <v>676</v>
      </c>
      <c r="C174" t="s">
        <v>259</v>
      </c>
      <c r="D174" t="s">
        <v>93</v>
      </c>
      <c r="E174">
        <v>2272.4299999999998</v>
      </c>
      <c r="F174">
        <v>2272.4299999999998</v>
      </c>
      <c r="G174">
        <v>2500</v>
      </c>
      <c r="H174" t="s">
        <v>690</v>
      </c>
      <c r="I174">
        <v>2026</v>
      </c>
      <c r="J174" t="s">
        <v>90</v>
      </c>
      <c r="K174" t="s">
        <v>90</v>
      </c>
      <c r="L174" t="s">
        <v>90</v>
      </c>
      <c r="M174" t="s">
        <v>90</v>
      </c>
      <c r="N174" s="73">
        <v>0</v>
      </c>
      <c r="O174" t="str">
        <f>IFERROR(VLOOKUP(Basef[[#This Row],[Regional]],Tabela11[],2,0),"Vago")</f>
        <v>Renan</v>
      </c>
      <c r="P174" t="str">
        <f>Basef[[#This Row],[Regional]]</f>
        <v>Pará Sul</v>
      </c>
    </row>
    <row r="175" spans="1:16" x14ac:dyDescent="0.3">
      <c r="A175">
        <v>28</v>
      </c>
      <c r="B175" t="s">
        <v>631</v>
      </c>
      <c r="C175" t="s">
        <v>259</v>
      </c>
      <c r="D175" t="s">
        <v>92</v>
      </c>
      <c r="E175">
        <v>34775.82</v>
      </c>
      <c r="F175">
        <v>34775.82</v>
      </c>
      <c r="G175">
        <v>59000</v>
      </c>
      <c r="H175" t="s">
        <v>690</v>
      </c>
      <c r="I175">
        <v>2026</v>
      </c>
      <c r="J175" t="s">
        <v>65</v>
      </c>
      <c r="K175" t="s">
        <v>65</v>
      </c>
      <c r="L175" t="s">
        <v>65</v>
      </c>
      <c r="M175" t="s">
        <v>90</v>
      </c>
      <c r="N175" s="73">
        <v>0</v>
      </c>
      <c r="O175" t="str">
        <f>IFERROR(VLOOKUP(Basef[[#This Row],[Regional]],Tabela11[],2,0),"Vago")</f>
        <v>Renan</v>
      </c>
      <c r="P175" t="str">
        <f>Basef[[#This Row],[Regional]]</f>
        <v>Pará Sul</v>
      </c>
    </row>
    <row r="176" spans="1:16" x14ac:dyDescent="0.3">
      <c r="A176">
        <v>208</v>
      </c>
      <c r="B176" t="s">
        <v>676</v>
      </c>
      <c r="C176" t="s">
        <v>259</v>
      </c>
      <c r="D176" t="s">
        <v>3</v>
      </c>
      <c r="E176">
        <v>51071.3</v>
      </c>
      <c r="F176">
        <v>51071.3</v>
      </c>
      <c r="G176">
        <v>40500</v>
      </c>
      <c r="H176" t="s">
        <v>690</v>
      </c>
      <c r="I176">
        <v>2026</v>
      </c>
      <c r="J176" t="s">
        <v>90</v>
      </c>
      <c r="K176" t="s">
        <v>90</v>
      </c>
      <c r="L176" t="s">
        <v>90</v>
      </c>
      <c r="M176" t="s">
        <v>90</v>
      </c>
      <c r="N176" s="73">
        <v>0</v>
      </c>
      <c r="O176" t="str">
        <f>IFERROR(VLOOKUP(Basef[[#This Row],[Regional]],Tabela11[],2,0),"Vago")</f>
        <v>Renan</v>
      </c>
      <c r="P176" t="str">
        <f>Basef[[#This Row],[Regional]]</f>
        <v>Pará Sul</v>
      </c>
    </row>
    <row r="177" spans="1:16" x14ac:dyDescent="0.3">
      <c r="A177">
        <v>28</v>
      </c>
      <c r="B177" t="s">
        <v>631</v>
      </c>
      <c r="C177" t="s">
        <v>259</v>
      </c>
      <c r="D177" t="s">
        <v>93</v>
      </c>
      <c r="E177">
        <v>1041.31</v>
      </c>
      <c r="F177">
        <v>1041.31</v>
      </c>
      <c r="G177">
        <v>2000</v>
      </c>
      <c r="H177" t="s">
        <v>690</v>
      </c>
      <c r="I177">
        <v>2026</v>
      </c>
      <c r="J177" t="s">
        <v>65</v>
      </c>
      <c r="K177" t="s">
        <v>65</v>
      </c>
      <c r="L177" t="s">
        <v>65</v>
      </c>
      <c r="M177" t="s">
        <v>90</v>
      </c>
      <c r="N177" s="73">
        <v>0</v>
      </c>
      <c r="O177" t="str">
        <f>IFERROR(VLOOKUP(Basef[[#This Row],[Regional]],Tabela11[],2,0),"Vago")</f>
        <v>Renan</v>
      </c>
      <c r="P177" t="str">
        <f>Basef[[#This Row],[Regional]]</f>
        <v>Pará Sul</v>
      </c>
    </row>
    <row r="178" spans="1:16" x14ac:dyDescent="0.3">
      <c r="A178">
        <v>25</v>
      </c>
      <c r="B178" t="s">
        <v>689</v>
      </c>
      <c r="C178" t="s">
        <v>259</v>
      </c>
      <c r="D178" t="s">
        <v>3</v>
      </c>
      <c r="E178">
        <v>42623.02</v>
      </c>
      <c r="F178">
        <v>42623.02</v>
      </c>
      <c r="G178">
        <v>66500</v>
      </c>
      <c r="H178" t="s">
        <v>690</v>
      </c>
      <c r="I178">
        <v>2026</v>
      </c>
      <c r="J178" t="s">
        <v>566</v>
      </c>
      <c r="K178" t="s">
        <v>566</v>
      </c>
      <c r="L178" t="s">
        <v>566</v>
      </c>
      <c r="M178" t="s">
        <v>90</v>
      </c>
      <c r="N178" s="73">
        <v>176.68</v>
      </c>
      <c r="O178" t="str">
        <f>IFERROR(VLOOKUP(Basef[[#This Row],[Regional]],Tabela11[],2,0),"Vago")</f>
        <v>Renan</v>
      </c>
      <c r="P178" t="str">
        <f>Basef[[#This Row],[Regional]]</f>
        <v>Pará Sul</v>
      </c>
    </row>
    <row r="179" spans="1:16" x14ac:dyDescent="0.3">
      <c r="A179">
        <v>26</v>
      </c>
      <c r="B179" t="s">
        <v>636</v>
      </c>
      <c r="C179" t="s">
        <v>259</v>
      </c>
      <c r="D179" t="s">
        <v>93</v>
      </c>
      <c r="E179">
        <v>1867.18</v>
      </c>
      <c r="F179">
        <v>1867.18</v>
      </c>
      <c r="G179">
        <v>2000</v>
      </c>
      <c r="H179" t="s">
        <v>690</v>
      </c>
      <c r="I179">
        <v>2026</v>
      </c>
      <c r="J179" t="s">
        <v>566</v>
      </c>
      <c r="K179" t="s">
        <v>566</v>
      </c>
      <c r="L179" t="s">
        <v>566</v>
      </c>
      <c r="M179" t="s">
        <v>90</v>
      </c>
      <c r="N179" s="73">
        <v>0</v>
      </c>
      <c r="O179" t="str">
        <f>IFERROR(VLOOKUP(Basef[[#This Row],[Regional]],Tabela11[],2,0),"Vago")</f>
        <v>Renan</v>
      </c>
      <c r="P179" t="str">
        <f>Basef[[#This Row],[Regional]]</f>
        <v>Pará Sul</v>
      </c>
    </row>
    <row r="180" spans="1:16" x14ac:dyDescent="0.3">
      <c r="A180">
        <v>24</v>
      </c>
      <c r="B180" t="s">
        <v>667</v>
      </c>
      <c r="C180" t="s">
        <v>259</v>
      </c>
      <c r="D180" t="s">
        <v>3</v>
      </c>
      <c r="E180">
        <v>22466.82</v>
      </c>
      <c r="F180">
        <v>22466.82</v>
      </c>
      <c r="G180">
        <v>38000</v>
      </c>
      <c r="H180" t="s">
        <v>690</v>
      </c>
      <c r="I180">
        <v>2026</v>
      </c>
      <c r="J180" t="s">
        <v>566</v>
      </c>
      <c r="K180" t="s">
        <v>566</v>
      </c>
      <c r="L180" t="s">
        <v>566</v>
      </c>
      <c r="M180" t="s">
        <v>90</v>
      </c>
      <c r="N180" s="73">
        <v>60</v>
      </c>
      <c r="O180" t="str">
        <f>IFERROR(VLOOKUP(Basef[[#This Row],[Regional]],Tabela11[],2,0),"Vago")</f>
        <v>Renan</v>
      </c>
      <c r="P180" t="str">
        <f>Basef[[#This Row],[Regional]]</f>
        <v>Pará Sul</v>
      </c>
    </row>
    <row r="181" spans="1:16" x14ac:dyDescent="0.3">
      <c r="A181">
        <v>25</v>
      </c>
      <c r="B181" t="s">
        <v>689</v>
      </c>
      <c r="C181" t="s">
        <v>259</v>
      </c>
      <c r="D181" t="s">
        <v>93</v>
      </c>
      <c r="E181">
        <v>1991.03</v>
      </c>
      <c r="F181">
        <v>1991.03</v>
      </c>
      <c r="G181">
        <v>1500</v>
      </c>
      <c r="H181" t="s">
        <v>690</v>
      </c>
      <c r="I181">
        <v>2026</v>
      </c>
      <c r="J181" t="s">
        <v>566</v>
      </c>
      <c r="K181" t="s">
        <v>566</v>
      </c>
      <c r="L181" t="s">
        <v>566</v>
      </c>
      <c r="M181" t="s">
        <v>90</v>
      </c>
      <c r="N181" s="73">
        <v>0</v>
      </c>
      <c r="O181" t="str">
        <f>IFERROR(VLOOKUP(Basef[[#This Row],[Regional]],Tabela11[],2,0),"Vago")</f>
        <v>Renan</v>
      </c>
      <c r="P181" t="str">
        <f>Basef[[#This Row],[Regional]]</f>
        <v>Pará Sul</v>
      </c>
    </row>
    <row r="182" spans="1:16" x14ac:dyDescent="0.3">
      <c r="A182">
        <v>208</v>
      </c>
      <c r="B182" t="s">
        <v>676</v>
      </c>
      <c r="C182" t="s">
        <v>259</v>
      </c>
      <c r="D182" t="s">
        <v>92</v>
      </c>
      <c r="E182">
        <v>50437.47</v>
      </c>
      <c r="F182">
        <v>50437.47</v>
      </c>
      <c r="G182">
        <v>66000</v>
      </c>
      <c r="H182" t="s">
        <v>690</v>
      </c>
      <c r="I182">
        <v>2026</v>
      </c>
      <c r="J182" t="s">
        <v>90</v>
      </c>
      <c r="K182" t="s">
        <v>90</v>
      </c>
      <c r="L182" t="s">
        <v>90</v>
      </c>
      <c r="M182" t="s">
        <v>90</v>
      </c>
      <c r="N182" s="73">
        <v>0</v>
      </c>
      <c r="O182" t="str">
        <f>IFERROR(VLOOKUP(Basef[[#This Row],[Regional]],Tabela11[],2,0),"Vago")</f>
        <v>Renan</v>
      </c>
      <c r="P182" t="str">
        <f>Basef[[#This Row],[Regional]]</f>
        <v>Pará Sul</v>
      </c>
    </row>
    <row r="183" spans="1:16" x14ac:dyDescent="0.3">
      <c r="A183">
        <v>24</v>
      </c>
      <c r="B183" t="s">
        <v>667</v>
      </c>
      <c r="C183" t="s">
        <v>259</v>
      </c>
      <c r="D183" t="s">
        <v>92</v>
      </c>
      <c r="E183">
        <v>19984.96</v>
      </c>
      <c r="F183">
        <v>19984.96</v>
      </c>
      <c r="G183">
        <v>35000</v>
      </c>
      <c r="H183" t="s">
        <v>690</v>
      </c>
      <c r="I183">
        <v>2026</v>
      </c>
      <c r="J183" t="s">
        <v>566</v>
      </c>
      <c r="K183" t="s">
        <v>566</v>
      </c>
      <c r="L183" t="s">
        <v>566</v>
      </c>
      <c r="M183" t="s">
        <v>90</v>
      </c>
      <c r="N183" s="73">
        <v>0</v>
      </c>
      <c r="O183" t="str">
        <f>IFERROR(VLOOKUP(Basef[[#This Row],[Regional]],Tabela11[],2,0),"Vago")</f>
        <v>Renan</v>
      </c>
      <c r="P183" t="str">
        <f>Basef[[#This Row],[Regional]]</f>
        <v>Pará Sul</v>
      </c>
    </row>
    <row r="184" spans="1:16" x14ac:dyDescent="0.3">
      <c r="A184">
        <v>28</v>
      </c>
      <c r="B184" t="s">
        <v>631</v>
      </c>
      <c r="C184" t="s">
        <v>259</v>
      </c>
      <c r="D184" t="s">
        <v>3</v>
      </c>
      <c r="E184">
        <v>53825.75</v>
      </c>
      <c r="F184">
        <v>53825.75</v>
      </c>
      <c r="G184">
        <v>83500</v>
      </c>
      <c r="H184" t="s">
        <v>690</v>
      </c>
      <c r="I184">
        <v>2026</v>
      </c>
      <c r="J184" t="s">
        <v>65</v>
      </c>
      <c r="K184" t="s">
        <v>65</v>
      </c>
      <c r="L184" t="s">
        <v>65</v>
      </c>
      <c r="M184" t="s">
        <v>90</v>
      </c>
      <c r="N184" s="73">
        <v>612.58999999999992</v>
      </c>
      <c r="O184" t="str">
        <f>IFERROR(VLOOKUP(Basef[[#This Row],[Regional]],Tabela11[],2,0),"Vago")</f>
        <v>Renan</v>
      </c>
      <c r="P184" t="str">
        <f>Basef[[#This Row],[Regional]]</f>
        <v>Pará Sul</v>
      </c>
    </row>
    <row r="185" spans="1:16" x14ac:dyDescent="0.3">
      <c r="A185">
        <v>254</v>
      </c>
      <c r="B185" t="s">
        <v>681</v>
      </c>
      <c r="C185" t="s">
        <v>259</v>
      </c>
      <c r="D185" t="s">
        <v>92</v>
      </c>
      <c r="E185">
        <v>27752.44</v>
      </c>
      <c r="F185">
        <v>27752.44</v>
      </c>
      <c r="G185">
        <v>54000</v>
      </c>
      <c r="H185" t="s">
        <v>690</v>
      </c>
      <c r="I185">
        <v>2026</v>
      </c>
      <c r="J185" t="s">
        <v>65</v>
      </c>
      <c r="K185" t="s">
        <v>65</v>
      </c>
      <c r="L185" t="s">
        <v>65</v>
      </c>
      <c r="M185" t="s">
        <v>90</v>
      </c>
      <c r="N185" s="73">
        <v>0</v>
      </c>
      <c r="O185" t="str">
        <f>IFERROR(VLOOKUP(Basef[[#This Row],[Regional]],Tabela11[],2,0),"Vago")</f>
        <v>Renan</v>
      </c>
      <c r="P185" t="str">
        <f>Basef[[#This Row],[Regional]]</f>
        <v>Pará Sul</v>
      </c>
    </row>
    <row r="186" spans="1:16" x14ac:dyDescent="0.3">
      <c r="A186">
        <v>26</v>
      </c>
      <c r="B186" t="s">
        <v>636</v>
      </c>
      <c r="C186" t="s">
        <v>259</v>
      </c>
      <c r="D186" t="s">
        <v>3</v>
      </c>
      <c r="E186">
        <v>35028.99</v>
      </c>
      <c r="F186">
        <v>35028.99</v>
      </c>
      <c r="G186">
        <v>66500</v>
      </c>
      <c r="H186" t="s">
        <v>690</v>
      </c>
      <c r="I186">
        <v>2026</v>
      </c>
      <c r="J186" t="s">
        <v>566</v>
      </c>
      <c r="K186" t="s">
        <v>566</v>
      </c>
      <c r="L186" t="s">
        <v>566</v>
      </c>
      <c r="M186" t="s">
        <v>90</v>
      </c>
      <c r="N186" s="73">
        <v>51.35</v>
      </c>
      <c r="O186" t="str">
        <f>IFERROR(VLOOKUP(Basef[[#This Row],[Regional]],Tabela11[],2,0),"Vago")</f>
        <v>Renan</v>
      </c>
      <c r="P186" t="str">
        <f>Basef[[#This Row],[Regional]]</f>
        <v>Pará Sul</v>
      </c>
    </row>
    <row r="187" spans="1:16" x14ac:dyDescent="0.3">
      <c r="A187">
        <v>254</v>
      </c>
      <c r="B187" t="s">
        <v>681</v>
      </c>
      <c r="C187" t="s">
        <v>259</v>
      </c>
      <c r="D187" t="s">
        <v>3</v>
      </c>
      <c r="E187">
        <v>58951.79</v>
      </c>
      <c r="F187">
        <v>58951.79</v>
      </c>
      <c r="G187">
        <v>76500</v>
      </c>
      <c r="H187" t="s">
        <v>690</v>
      </c>
      <c r="I187">
        <v>2026</v>
      </c>
      <c r="J187" t="s">
        <v>65</v>
      </c>
      <c r="K187" t="s">
        <v>65</v>
      </c>
      <c r="L187" t="s">
        <v>65</v>
      </c>
      <c r="M187" t="s">
        <v>90</v>
      </c>
      <c r="N187" s="73">
        <v>1225.6199999999999</v>
      </c>
      <c r="O187" t="str">
        <f>IFERROR(VLOOKUP(Basef[[#This Row],[Regional]],Tabela11[],2,0),"Vago")</f>
        <v>Renan</v>
      </c>
      <c r="P187" t="str">
        <f>Basef[[#This Row],[Regional]]</f>
        <v>Pará Sul</v>
      </c>
    </row>
    <row r="188" spans="1:16" x14ac:dyDescent="0.3">
      <c r="A188">
        <v>254</v>
      </c>
      <c r="B188" t="s">
        <v>681</v>
      </c>
      <c r="C188" t="s">
        <v>259</v>
      </c>
      <c r="D188" t="s">
        <v>93</v>
      </c>
      <c r="E188">
        <v>3304.63</v>
      </c>
      <c r="F188">
        <v>3304.63</v>
      </c>
      <c r="G188">
        <v>2000</v>
      </c>
      <c r="H188" t="s">
        <v>690</v>
      </c>
      <c r="I188">
        <v>2026</v>
      </c>
      <c r="J188" t="s">
        <v>65</v>
      </c>
      <c r="K188" t="s">
        <v>65</v>
      </c>
      <c r="L188" t="s">
        <v>65</v>
      </c>
      <c r="M188" t="s">
        <v>90</v>
      </c>
      <c r="N188" s="73">
        <v>0</v>
      </c>
      <c r="O188" t="str">
        <f>IFERROR(VLOOKUP(Basef[[#This Row],[Regional]],Tabela11[],2,0),"Vago")</f>
        <v>Renan</v>
      </c>
      <c r="P188" t="str">
        <f>Basef[[#This Row],[Regional]]</f>
        <v>Pará Sul</v>
      </c>
    </row>
    <row r="189" spans="1:16" x14ac:dyDescent="0.3">
      <c r="A189">
        <v>25</v>
      </c>
      <c r="B189" t="s">
        <v>689</v>
      </c>
      <c r="C189" t="s">
        <v>259</v>
      </c>
      <c r="D189" t="s">
        <v>92</v>
      </c>
      <c r="E189">
        <v>42799.76</v>
      </c>
      <c r="F189">
        <v>42799.76</v>
      </c>
      <c r="G189">
        <v>50000</v>
      </c>
      <c r="H189" t="s">
        <v>690</v>
      </c>
      <c r="I189">
        <v>2026</v>
      </c>
      <c r="J189" t="s">
        <v>566</v>
      </c>
      <c r="K189" t="s">
        <v>566</v>
      </c>
      <c r="L189" t="s">
        <v>566</v>
      </c>
      <c r="M189" t="s">
        <v>90</v>
      </c>
      <c r="N189" s="73">
        <v>0</v>
      </c>
      <c r="O189" t="str">
        <f>IFERROR(VLOOKUP(Basef[[#This Row],[Regional]],Tabela11[],2,0),"Vago")</f>
        <v>Renan</v>
      </c>
      <c r="P189" t="str">
        <f>Basef[[#This Row],[Regional]]</f>
        <v>Pará Sul</v>
      </c>
    </row>
    <row r="190" spans="1:16" x14ac:dyDescent="0.3">
      <c r="A190">
        <v>253</v>
      </c>
      <c r="B190" t="s">
        <v>647</v>
      </c>
      <c r="C190" t="s">
        <v>246</v>
      </c>
      <c r="D190" t="s">
        <v>3</v>
      </c>
      <c r="E190">
        <v>46425.120000000003</v>
      </c>
      <c r="F190">
        <v>46425.120000000003</v>
      </c>
      <c r="G190">
        <v>76000</v>
      </c>
      <c r="H190" t="s">
        <v>690</v>
      </c>
      <c r="I190">
        <v>2026</v>
      </c>
      <c r="J190" t="s">
        <v>578</v>
      </c>
      <c r="K190" t="s">
        <v>90</v>
      </c>
      <c r="L190" t="s">
        <v>90</v>
      </c>
      <c r="M190" t="s">
        <v>90</v>
      </c>
      <c r="N190" s="73">
        <v>84</v>
      </c>
      <c r="O190" t="str">
        <f>IFERROR(VLOOKUP(Basef[[#This Row],[Regional]],Tabela11[],2,0),"Vago")</f>
        <v>Renan</v>
      </c>
      <c r="P190" t="str">
        <f>Basef[[#This Row],[Regional]]</f>
        <v>Pará Norte</v>
      </c>
    </row>
    <row r="191" spans="1:16" x14ac:dyDescent="0.3">
      <c r="A191">
        <v>36</v>
      </c>
      <c r="B191" t="s">
        <v>680</v>
      </c>
      <c r="C191" t="s">
        <v>246</v>
      </c>
      <c r="D191" t="s">
        <v>92</v>
      </c>
      <c r="E191">
        <v>5210.7</v>
      </c>
      <c r="F191">
        <v>5210.7</v>
      </c>
      <c r="G191">
        <v>20000</v>
      </c>
      <c r="H191" t="s">
        <v>690</v>
      </c>
      <c r="I191">
        <v>2026</v>
      </c>
      <c r="J191" t="s">
        <v>593</v>
      </c>
      <c r="K191" t="s">
        <v>593</v>
      </c>
      <c r="L191" t="s">
        <v>593</v>
      </c>
      <c r="M191" t="s">
        <v>90</v>
      </c>
      <c r="N191" s="73">
        <v>0</v>
      </c>
      <c r="O191" t="str">
        <f>IFERROR(VLOOKUP(Basef[[#This Row],[Regional]],Tabela11[],2,0),"Vago")</f>
        <v>Renan</v>
      </c>
      <c r="P191" t="str">
        <f>Basef[[#This Row],[Regional]]</f>
        <v>Pará Norte</v>
      </c>
    </row>
    <row r="192" spans="1:16" x14ac:dyDescent="0.3">
      <c r="A192">
        <v>37</v>
      </c>
      <c r="B192" t="s">
        <v>650</v>
      </c>
      <c r="C192" t="s">
        <v>246</v>
      </c>
      <c r="D192" t="s">
        <v>92</v>
      </c>
      <c r="E192">
        <v>18903.53</v>
      </c>
      <c r="F192">
        <v>18903.53</v>
      </c>
      <c r="G192">
        <v>34000</v>
      </c>
      <c r="H192" t="s">
        <v>690</v>
      </c>
      <c r="I192">
        <v>2026</v>
      </c>
      <c r="J192" t="s">
        <v>578</v>
      </c>
      <c r="K192" t="s">
        <v>578</v>
      </c>
      <c r="L192" t="s">
        <v>578</v>
      </c>
      <c r="M192" t="s">
        <v>90</v>
      </c>
      <c r="N192" s="73">
        <v>0</v>
      </c>
      <c r="O192" t="str">
        <f>IFERROR(VLOOKUP(Basef[[#This Row],[Regional]],Tabela11[],2,0),"Vago")</f>
        <v>Renan</v>
      </c>
      <c r="P192" t="str">
        <f>Basef[[#This Row],[Regional]]</f>
        <v>Pará Norte</v>
      </c>
    </row>
    <row r="193" spans="1:16" x14ac:dyDescent="0.3">
      <c r="A193">
        <v>36</v>
      </c>
      <c r="B193" t="s">
        <v>680</v>
      </c>
      <c r="C193" t="s">
        <v>246</v>
      </c>
      <c r="D193" t="s">
        <v>93</v>
      </c>
      <c r="E193">
        <v>893.75</v>
      </c>
      <c r="F193">
        <v>893.75</v>
      </c>
      <c r="G193">
        <v>1000</v>
      </c>
      <c r="H193" t="s">
        <v>690</v>
      </c>
      <c r="I193">
        <v>2026</v>
      </c>
      <c r="J193" t="s">
        <v>593</v>
      </c>
      <c r="K193" t="s">
        <v>593</v>
      </c>
      <c r="L193" t="s">
        <v>593</v>
      </c>
      <c r="M193" t="s">
        <v>90</v>
      </c>
      <c r="N193" s="73">
        <v>0</v>
      </c>
      <c r="O193" t="str">
        <f>IFERROR(VLOOKUP(Basef[[#This Row],[Regional]],Tabela11[],2,0),"Vago")</f>
        <v>Renan</v>
      </c>
      <c r="P193" t="str">
        <f>Basef[[#This Row],[Regional]]</f>
        <v>Pará Norte</v>
      </c>
    </row>
    <row r="194" spans="1:16" x14ac:dyDescent="0.3">
      <c r="A194">
        <v>263</v>
      </c>
      <c r="B194" t="s">
        <v>686</v>
      </c>
      <c r="C194" t="s">
        <v>246</v>
      </c>
      <c r="D194" t="s">
        <v>92</v>
      </c>
      <c r="E194">
        <v>19490.18</v>
      </c>
      <c r="F194">
        <v>19490.18</v>
      </c>
      <c r="G194">
        <v>35000</v>
      </c>
      <c r="H194" t="s">
        <v>690</v>
      </c>
      <c r="I194">
        <v>2026</v>
      </c>
      <c r="J194" t="s">
        <v>593</v>
      </c>
      <c r="K194" t="s">
        <v>593</v>
      </c>
      <c r="L194" t="s">
        <v>593</v>
      </c>
      <c r="M194" t="s">
        <v>90</v>
      </c>
      <c r="N194" s="73">
        <v>0</v>
      </c>
      <c r="O194" t="str">
        <f>IFERROR(VLOOKUP(Basef[[#This Row],[Regional]],Tabela11[],2,0),"Vago")</f>
        <v>Renan</v>
      </c>
      <c r="P194" t="str">
        <f>Basef[[#This Row],[Regional]]</f>
        <v>Pará Norte</v>
      </c>
    </row>
    <row r="195" spans="1:16" x14ac:dyDescent="0.3">
      <c r="A195">
        <v>548</v>
      </c>
      <c r="B195" t="s">
        <v>682</v>
      </c>
      <c r="C195" t="s">
        <v>246</v>
      </c>
      <c r="D195" t="s">
        <v>92</v>
      </c>
      <c r="E195">
        <v>16779.11</v>
      </c>
      <c r="F195">
        <v>16779.11</v>
      </c>
      <c r="G195">
        <v>40000</v>
      </c>
      <c r="H195" t="s">
        <v>690</v>
      </c>
      <c r="I195">
        <v>2026</v>
      </c>
      <c r="J195" t="s">
        <v>514</v>
      </c>
      <c r="K195" t="s">
        <v>514</v>
      </c>
      <c r="L195" t="s">
        <v>514</v>
      </c>
      <c r="M195" t="s">
        <v>90</v>
      </c>
      <c r="N195" s="73">
        <v>0</v>
      </c>
      <c r="O195" t="str">
        <f>IFERROR(VLOOKUP(Basef[[#This Row],[Regional]],Tabela11[],2,0),"Vago")</f>
        <v>Renan</v>
      </c>
      <c r="P195" t="str">
        <f>Basef[[#This Row],[Regional]]</f>
        <v>Pará Norte</v>
      </c>
    </row>
    <row r="196" spans="1:16" x14ac:dyDescent="0.3">
      <c r="A196">
        <v>49</v>
      </c>
      <c r="B196" t="s">
        <v>644</v>
      </c>
      <c r="C196" t="s">
        <v>246</v>
      </c>
      <c r="D196" t="s">
        <v>93</v>
      </c>
      <c r="E196">
        <v>3680.26</v>
      </c>
      <c r="F196">
        <v>3680.26</v>
      </c>
      <c r="G196">
        <v>2000</v>
      </c>
      <c r="H196" t="s">
        <v>690</v>
      </c>
      <c r="I196">
        <v>2026</v>
      </c>
      <c r="J196" t="s">
        <v>595</v>
      </c>
      <c r="K196" t="s">
        <v>595</v>
      </c>
      <c r="L196" t="s">
        <v>595</v>
      </c>
      <c r="M196" t="s">
        <v>90</v>
      </c>
      <c r="N196" s="73">
        <v>0</v>
      </c>
      <c r="O196" t="str">
        <f>IFERROR(VLOOKUP(Basef[[#This Row],[Regional]],Tabela11[],2,0),"Vago")</f>
        <v>Renan</v>
      </c>
      <c r="P196" t="str">
        <f>Basef[[#This Row],[Regional]]</f>
        <v>Pará Norte</v>
      </c>
    </row>
    <row r="197" spans="1:16" x14ac:dyDescent="0.3">
      <c r="A197">
        <v>257</v>
      </c>
      <c r="B197" t="s">
        <v>656</v>
      </c>
      <c r="C197" t="s">
        <v>246</v>
      </c>
      <c r="D197" t="s">
        <v>3</v>
      </c>
      <c r="E197">
        <v>28875.56</v>
      </c>
      <c r="F197">
        <v>28875.56</v>
      </c>
      <c r="G197">
        <v>60000</v>
      </c>
      <c r="H197" t="s">
        <v>690</v>
      </c>
      <c r="I197">
        <v>2026</v>
      </c>
      <c r="J197" t="s">
        <v>593</v>
      </c>
      <c r="K197" t="s">
        <v>593</v>
      </c>
      <c r="L197" t="s">
        <v>593</v>
      </c>
      <c r="M197" t="s">
        <v>90</v>
      </c>
      <c r="N197" s="73">
        <v>77.599999999999994</v>
      </c>
      <c r="O197" t="str">
        <f>IFERROR(VLOOKUP(Basef[[#This Row],[Regional]],Tabela11[],2,0),"Vago")</f>
        <v>Renan</v>
      </c>
      <c r="P197" t="str">
        <f>Basef[[#This Row],[Regional]]</f>
        <v>Pará Norte</v>
      </c>
    </row>
    <row r="198" spans="1:16" x14ac:dyDescent="0.3">
      <c r="A198">
        <v>257</v>
      </c>
      <c r="B198" t="s">
        <v>656</v>
      </c>
      <c r="C198" t="s">
        <v>246</v>
      </c>
      <c r="D198" t="s">
        <v>93</v>
      </c>
      <c r="E198">
        <v>1263.97</v>
      </c>
      <c r="F198">
        <v>1263.97</v>
      </c>
      <c r="G198">
        <v>2000</v>
      </c>
      <c r="H198" t="s">
        <v>690</v>
      </c>
      <c r="I198">
        <v>2026</v>
      </c>
      <c r="J198" t="s">
        <v>593</v>
      </c>
      <c r="K198" t="s">
        <v>593</v>
      </c>
      <c r="L198" t="s">
        <v>593</v>
      </c>
      <c r="M198" t="s">
        <v>90</v>
      </c>
      <c r="N198" s="73">
        <v>0</v>
      </c>
      <c r="O198" t="str">
        <f>IFERROR(VLOOKUP(Basef[[#This Row],[Regional]],Tabela11[],2,0),"Vago")</f>
        <v>Renan</v>
      </c>
      <c r="P198" t="str">
        <f>Basef[[#This Row],[Regional]]</f>
        <v>Pará Norte</v>
      </c>
    </row>
    <row r="199" spans="1:16" x14ac:dyDescent="0.3">
      <c r="A199">
        <v>35</v>
      </c>
      <c r="B199" t="s">
        <v>666</v>
      </c>
      <c r="C199" t="s">
        <v>246</v>
      </c>
      <c r="D199" t="s">
        <v>3</v>
      </c>
      <c r="E199">
        <v>18154.099999999999</v>
      </c>
      <c r="F199">
        <v>18154.099999999999</v>
      </c>
      <c r="G199">
        <v>28000</v>
      </c>
      <c r="H199" t="s">
        <v>690</v>
      </c>
      <c r="I199">
        <v>2026</v>
      </c>
      <c r="J199" t="s">
        <v>595</v>
      </c>
      <c r="K199" t="s">
        <v>595</v>
      </c>
      <c r="L199" t="s">
        <v>595</v>
      </c>
      <c r="M199" t="s">
        <v>90</v>
      </c>
      <c r="N199" s="73">
        <v>66.3</v>
      </c>
      <c r="O199" t="str">
        <f>IFERROR(VLOOKUP(Basef[[#This Row],[Regional]],Tabela11[],2,0),"Vago")</f>
        <v>Renan</v>
      </c>
      <c r="P199" t="str">
        <f>Basef[[#This Row],[Regional]]</f>
        <v>Pará Norte</v>
      </c>
    </row>
    <row r="200" spans="1:16" x14ac:dyDescent="0.3">
      <c r="A200">
        <v>35</v>
      </c>
      <c r="B200" t="s">
        <v>666</v>
      </c>
      <c r="C200" t="s">
        <v>246</v>
      </c>
      <c r="D200" t="s">
        <v>93</v>
      </c>
      <c r="E200">
        <v>1727.82</v>
      </c>
      <c r="F200">
        <v>1727.82</v>
      </c>
      <c r="G200">
        <v>1500</v>
      </c>
      <c r="H200" t="s">
        <v>690</v>
      </c>
      <c r="I200">
        <v>2026</v>
      </c>
      <c r="J200" t="s">
        <v>595</v>
      </c>
      <c r="K200" t="s">
        <v>595</v>
      </c>
      <c r="L200" t="s">
        <v>595</v>
      </c>
      <c r="M200" t="s">
        <v>90</v>
      </c>
      <c r="N200" s="73">
        <v>0</v>
      </c>
      <c r="O200" t="str">
        <f>IFERROR(VLOOKUP(Basef[[#This Row],[Regional]],Tabela11[],2,0),"Vago")</f>
        <v>Renan</v>
      </c>
      <c r="P200" t="str">
        <f>Basef[[#This Row],[Regional]]</f>
        <v>Pará Norte</v>
      </c>
    </row>
    <row r="201" spans="1:16" x14ac:dyDescent="0.3">
      <c r="A201">
        <v>257</v>
      </c>
      <c r="B201" t="s">
        <v>656</v>
      </c>
      <c r="C201" t="s">
        <v>246</v>
      </c>
      <c r="D201" t="s">
        <v>92</v>
      </c>
      <c r="E201">
        <v>16292.03</v>
      </c>
      <c r="F201">
        <v>16292.03</v>
      </c>
      <c r="G201">
        <v>32000</v>
      </c>
      <c r="H201" t="s">
        <v>690</v>
      </c>
      <c r="I201">
        <v>2026</v>
      </c>
      <c r="J201" t="s">
        <v>593</v>
      </c>
      <c r="K201" t="s">
        <v>593</v>
      </c>
      <c r="L201" t="s">
        <v>593</v>
      </c>
      <c r="M201" t="s">
        <v>90</v>
      </c>
      <c r="N201" s="73">
        <v>0</v>
      </c>
      <c r="O201" t="str">
        <f>IFERROR(VLOOKUP(Basef[[#This Row],[Regional]],Tabela11[],2,0),"Vago")</f>
        <v>Renan</v>
      </c>
      <c r="P201" t="str">
        <f>Basef[[#This Row],[Regional]]</f>
        <v>Pará Norte</v>
      </c>
    </row>
    <row r="202" spans="1:16" x14ac:dyDescent="0.3">
      <c r="A202">
        <v>253</v>
      </c>
      <c r="B202" t="s">
        <v>647</v>
      </c>
      <c r="C202" t="s">
        <v>246</v>
      </c>
      <c r="D202" t="s">
        <v>92</v>
      </c>
      <c r="E202">
        <v>17169.36</v>
      </c>
      <c r="F202">
        <v>17169.36</v>
      </c>
      <c r="G202">
        <v>40000</v>
      </c>
      <c r="H202" t="s">
        <v>690</v>
      </c>
      <c r="I202">
        <v>2026</v>
      </c>
      <c r="J202" t="s">
        <v>578</v>
      </c>
      <c r="K202" t="s">
        <v>90</v>
      </c>
      <c r="L202" t="s">
        <v>90</v>
      </c>
      <c r="M202" t="s">
        <v>90</v>
      </c>
      <c r="N202" s="73">
        <v>0</v>
      </c>
      <c r="O202" t="str">
        <f>IFERROR(VLOOKUP(Basef[[#This Row],[Regional]],Tabela11[],2,0),"Vago")</f>
        <v>Renan</v>
      </c>
      <c r="P202" t="str">
        <f>Basef[[#This Row],[Regional]]</f>
        <v>Pará Norte</v>
      </c>
    </row>
    <row r="203" spans="1:16" x14ac:dyDescent="0.3">
      <c r="A203">
        <v>35</v>
      </c>
      <c r="B203" t="s">
        <v>666</v>
      </c>
      <c r="C203" t="s">
        <v>246</v>
      </c>
      <c r="D203" t="s">
        <v>92</v>
      </c>
      <c r="E203">
        <v>13020.32</v>
      </c>
      <c r="F203">
        <v>13020.32</v>
      </c>
      <c r="G203">
        <v>25000</v>
      </c>
      <c r="H203" t="s">
        <v>690</v>
      </c>
      <c r="I203">
        <v>2026</v>
      </c>
      <c r="J203" t="s">
        <v>595</v>
      </c>
      <c r="K203" t="s">
        <v>595</v>
      </c>
      <c r="L203" t="s">
        <v>595</v>
      </c>
      <c r="M203" t="s">
        <v>90</v>
      </c>
      <c r="N203" s="73">
        <v>0</v>
      </c>
      <c r="O203" t="str">
        <f>IFERROR(VLOOKUP(Basef[[#This Row],[Regional]],Tabela11[],2,0),"Vago")</f>
        <v>Renan</v>
      </c>
      <c r="P203" t="str">
        <f>Basef[[#This Row],[Regional]]</f>
        <v>Pará Norte</v>
      </c>
    </row>
    <row r="204" spans="1:16" x14ac:dyDescent="0.3">
      <c r="A204">
        <v>37</v>
      </c>
      <c r="B204" t="s">
        <v>650</v>
      </c>
      <c r="C204" t="s">
        <v>246</v>
      </c>
      <c r="D204" t="s">
        <v>3</v>
      </c>
      <c r="E204">
        <v>22328.27</v>
      </c>
      <c r="F204">
        <v>22328.27</v>
      </c>
      <c r="G204">
        <v>35000</v>
      </c>
      <c r="H204" t="s">
        <v>690</v>
      </c>
      <c r="I204">
        <v>2026</v>
      </c>
      <c r="J204" t="s">
        <v>578</v>
      </c>
      <c r="K204" t="s">
        <v>578</v>
      </c>
      <c r="L204" t="s">
        <v>578</v>
      </c>
      <c r="M204" t="s">
        <v>90</v>
      </c>
      <c r="N204" s="73">
        <v>29.4</v>
      </c>
      <c r="O204" t="str">
        <f>IFERROR(VLOOKUP(Basef[[#This Row],[Regional]],Tabela11[],2,0),"Vago")</f>
        <v>Renan</v>
      </c>
      <c r="P204" t="str">
        <f>Basef[[#This Row],[Regional]]</f>
        <v>Pará Norte</v>
      </c>
    </row>
    <row r="205" spans="1:16" x14ac:dyDescent="0.3">
      <c r="A205">
        <v>46</v>
      </c>
      <c r="B205" t="s">
        <v>668</v>
      </c>
      <c r="C205" t="s">
        <v>246</v>
      </c>
      <c r="D205" t="s">
        <v>93</v>
      </c>
      <c r="E205">
        <v>632.16999999999996</v>
      </c>
      <c r="F205">
        <v>632.16999999999996</v>
      </c>
      <c r="G205">
        <v>1500</v>
      </c>
      <c r="H205" t="s">
        <v>690</v>
      </c>
      <c r="I205">
        <v>2026</v>
      </c>
      <c r="J205" t="s">
        <v>514</v>
      </c>
      <c r="K205" t="s">
        <v>514</v>
      </c>
      <c r="L205" t="s">
        <v>514</v>
      </c>
      <c r="M205" t="s">
        <v>90</v>
      </c>
      <c r="N205" s="73">
        <v>0</v>
      </c>
      <c r="O205" t="str">
        <f>IFERROR(VLOOKUP(Basef[[#This Row],[Regional]],Tabela11[],2,0),"Vago")</f>
        <v>Renan</v>
      </c>
      <c r="P205" t="str">
        <f>Basef[[#This Row],[Regional]]</f>
        <v>Pará Norte</v>
      </c>
    </row>
    <row r="206" spans="1:16" x14ac:dyDescent="0.3">
      <c r="A206">
        <v>49</v>
      </c>
      <c r="B206" t="s">
        <v>644</v>
      </c>
      <c r="C206" t="s">
        <v>246</v>
      </c>
      <c r="D206" t="s">
        <v>92</v>
      </c>
      <c r="E206">
        <v>31001.71</v>
      </c>
      <c r="F206">
        <v>31001.71</v>
      </c>
      <c r="G206">
        <v>40000</v>
      </c>
      <c r="H206" t="s">
        <v>690</v>
      </c>
      <c r="I206">
        <v>2026</v>
      </c>
      <c r="J206" t="s">
        <v>595</v>
      </c>
      <c r="K206" t="s">
        <v>595</v>
      </c>
      <c r="L206" t="s">
        <v>595</v>
      </c>
      <c r="M206" t="s">
        <v>90</v>
      </c>
      <c r="N206" s="73">
        <v>0</v>
      </c>
      <c r="O206" t="str">
        <f>IFERROR(VLOOKUP(Basef[[#This Row],[Regional]],Tabela11[],2,0),"Vago")</f>
        <v>Renan</v>
      </c>
      <c r="P206" t="str">
        <f>Basef[[#This Row],[Regional]]</f>
        <v>Pará Norte</v>
      </c>
    </row>
    <row r="207" spans="1:16" x14ac:dyDescent="0.3">
      <c r="A207">
        <v>276</v>
      </c>
      <c r="B207" t="s">
        <v>495</v>
      </c>
      <c r="C207" t="s">
        <v>246</v>
      </c>
      <c r="D207" t="s">
        <v>3</v>
      </c>
      <c r="E207">
        <v>42656.15</v>
      </c>
      <c r="F207">
        <v>42656.15</v>
      </c>
      <c r="G207">
        <v>70000</v>
      </c>
      <c r="H207" t="s">
        <v>690</v>
      </c>
      <c r="I207">
        <v>2026</v>
      </c>
      <c r="J207" t="s">
        <v>578</v>
      </c>
      <c r="K207" t="s">
        <v>578</v>
      </c>
      <c r="L207" t="s">
        <v>578</v>
      </c>
      <c r="M207" t="s">
        <v>90</v>
      </c>
      <c r="N207" s="73">
        <v>224.1</v>
      </c>
      <c r="O207" t="str">
        <f>IFERROR(VLOOKUP(Basef[[#This Row],[Regional]],Tabela11[],2,0),"Vago")</f>
        <v>Renan</v>
      </c>
      <c r="P207" t="str">
        <f>Basef[[#This Row],[Regional]]</f>
        <v>Pará Norte</v>
      </c>
    </row>
    <row r="208" spans="1:16" x14ac:dyDescent="0.3">
      <c r="A208">
        <v>223</v>
      </c>
      <c r="B208" t="s">
        <v>649</v>
      </c>
      <c r="C208" t="s">
        <v>246</v>
      </c>
      <c r="D208" t="s">
        <v>92</v>
      </c>
      <c r="E208">
        <v>19902.87</v>
      </c>
      <c r="F208">
        <v>19902.87</v>
      </c>
      <c r="G208">
        <v>50000</v>
      </c>
      <c r="H208" t="s">
        <v>690</v>
      </c>
      <c r="I208">
        <v>2026</v>
      </c>
      <c r="J208" t="s">
        <v>78</v>
      </c>
      <c r="K208" t="s">
        <v>78</v>
      </c>
      <c r="L208" t="s">
        <v>78</v>
      </c>
      <c r="M208" t="s">
        <v>90</v>
      </c>
      <c r="N208" s="73">
        <v>0</v>
      </c>
      <c r="O208" t="str">
        <f>IFERROR(VLOOKUP(Basef[[#This Row],[Regional]],Tabela11[],2,0),"Vago")</f>
        <v>Renan</v>
      </c>
      <c r="P208" t="str">
        <f>Basef[[#This Row],[Regional]]</f>
        <v>Pará Norte</v>
      </c>
    </row>
    <row r="209" spans="1:16" x14ac:dyDescent="0.3">
      <c r="A209">
        <v>548</v>
      </c>
      <c r="B209" t="s">
        <v>682</v>
      </c>
      <c r="C209" t="s">
        <v>246</v>
      </c>
      <c r="D209" t="s">
        <v>3</v>
      </c>
      <c r="E209">
        <v>26770.9</v>
      </c>
      <c r="F209">
        <v>26770.9</v>
      </c>
      <c r="G209">
        <v>46000</v>
      </c>
      <c r="H209" t="s">
        <v>690</v>
      </c>
      <c r="I209">
        <v>2026</v>
      </c>
      <c r="J209" t="s">
        <v>514</v>
      </c>
      <c r="K209" t="s">
        <v>514</v>
      </c>
      <c r="L209" t="s">
        <v>514</v>
      </c>
      <c r="M209" t="s">
        <v>90</v>
      </c>
      <c r="N209" s="73">
        <v>294.39999999999998</v>
      </c>
      <c r="O209" t="str">
        <f>IFERROR(VLOOKUP(Basef[[#This Row],[Regional]],Tabela11[],2,0),"Vago")</f>
        <v>Renan</v>
      </c>
      <c r="P209" t="str">
        <f>Basef[[#This Row],[Regional]]</f>
        <v>Pará Norte</v>
      </c>
    </row>
    <row r="210" spans="1:16" x14ac:dyDescent="0.3">
      <c r="A210">
        <v>46</v>
      </c>
      <c r="B210" t="s">
        <v>668</v>
      </c>
      <c r="C210" t="s">
        <v>246</v>
      </c>
      <c r="D210" t="s">
        <v>92</v>
      </c>
      <c r="E210">
        <v>11860.86</v>
      </c>
      <c r="F210">
        <v>11860.86</v>
      </c>
      <c r="G210">
        <v>25000</v>
      </c>
      <c r="H210" t="s">
        <v>690</v>
      </c>
      <c r="I210">
        <v>2026</v>
      </c>
      <c r="J210" t="s">
        <v>514</v>
      </c>
      <c r="K210" t="s">
        <v>514</v>
      </c>
      <c r="L210" t="s">
        <v>514</v>
      </c>
      <c r="M210" t="s">
        <v>90</v>
      </c>
      <c r="N210" s="73">
        <v>0</v>
      </c>
      <c r="O210" t="str">
        <f>IFERROR(VLOOKUP(Basef[[#This Row],[Regional]],Tabela11[],2,0),"Vago")</f>
        <v>Renan</v>
      </c>
      <c r="P210" t="str">
        <f>Basef[[#This Row],[Regional]]</f>
        <v>Pará Norte</v>
      </c>
    </row>
    <row r="211" spans="1:16" x14ac:dyDescent="0.3">
      <c r="A211">
        <v>276</v>
      </c>
      <c r="B211" t="s">
        <v>495</v>
      </c>
      <c r="C211" t="s">
        <v>246</v>
      </c>
      <c r="D211" t="s">
        <v>93</v>
      </c>
      <c r="E211">
        <v>1476.36</v>
      </c>
      <c r="F211">
        <v>1476.36</v>
      </c>
      <c r="G211">
        <v>2500</v>
      </c>
      <c r="H211" t="s">
        <v>690</v>
      </c>
      <c r="I211">
        <v>2026</v>
      </c>
      <c r="J211" t="s">
        <v>578</v>
      </c>
      <c r="K211" t="s">
        <v>578</v>
      </c>
      <c r="L211" t="s">
        <v>578</v>
      </c>
      <c r="M211" t="s">
        <v>90</v>
      </c>
      <c r="N211" s="73">
        <v>0</v>
      </c>
      <c r="O211" t="str">
        <f>IFERROR(VLOOKUP(Basef[[#This Row],[Regional]],Tabela11[],2,0),"Vago")</f>
        <v>Renan</v>
      </c>
      <c r="P211" t="str">
        <f>Basef[[#This Row],[Regional]]</f>
        <v>Pará Norte</v>
      </c>
    </row>
    <row r="212" spans="1:16" x14ac:dyDescent="0.3">
      <c r="A212">
        <v>45</v>
      </c>
      <c r="B212" t="s">
        <v>625</v>
      </c>
      <c r="C212" t="s">
        <v>246</v>
      </c>
      <c r="D212" t="s">
        <v>93</v>
      </c>
      <c r="E212">
        <v>1462.71</v>
      </c>
      <c r="F212">
        <v>1462.71</v>
      </c>
      <c r="G212">
        <v>2000</v>
      </c>
      <c r="H212" t="s">
        <v>690</v>
      </c>
      <c r="I212">
        <v>2026</v>
      </c>
      <c r="J212" t="s">
        <v>593</v>
      </c>
      <c r="K212" t="s">
        <v>593</v>
      </c>
      <c r="L212" t="s">
        <v>593</v>
      </c>
      <c r="M212" t="s">
        <v>90</v>
      </c>
      <c r="N212" s="73">
        <v>0</v>
      </c>
      <c r="O212" t="str">
        <f>IFERROR(VLOOKUP(Basef[[#This Row],[Regional]],Tabela11[],2,0),"Vago")</f>
        <v>Renan</v>
      </c>
      <c r="P212" t="str">
        <f>Basef[[#This Row],[Regional]]</f>
        <v>Pará Norte</v>
      </c>
    </row>
    <row r="213" spans="1:16" x14ac:dyDescent="0.3">
      <c r="A213">
        <v>36</v>
      </c>
      <c r="B213" t="s">
        <v>680</v>
      </c>
      <c r="C213" t="s">
        <v>246</v>
      </c>
      <c r="D213" t="s">
        <v>3</v>
      </c>
      <c r="E213">
        <v>24695.48</v>
      </c>
      <c r="F213">
        <v>24695.48</v>
      </c>
      <c r="G213">
        <v>30000</v>
      </c>
      <c r="H213" t="s">
        <v>690</v>
      </c>
      <c r="I213">
        <v>2026</v>
      </c>
      <c r="J213" t="s">
        <v>593</v>
      </c>
      <c r="K213" t="s">
        <v>593</v>
      </c>
      <c r="L213" t="s">
        <v>593</v>
      </c>
      <c r="M213" t="s">
        <v>90</v>
      </c>
      <c r="N213" s="73">
        <v>88.75</v>
      </c>
      <c r="O213" t="str">
        <f>IFERROR(VLOOKUP(Basef[[#This Row],[Regional]],Tabela11[],2,0),"Vago")</f>
        <v>Renan</v>
      </c>
      <c r="P213" t="str">
        <f>Basef[[#This Row],[Regional]]</f>
        <v>Pará Norte</v>
      </c>
    </row>
    <row r="214" spans="1:16" x14ac:dyDescent="0.3">
      <c r="A214">
        <v>531</v>
      </c>
      <c r="B214" t="s">
        <v>664</v>
      </c>
      <c r="C214" t="s">
        <v>246</v>
      </c>
      <c r="D214" t="s">
        <v>93</v>
      </c>
      <c r="E214">
        <v>3034.41</v>
      </c>
      <c r="F214">
        <v>3034.41</v>
      </c>
      <c r="G214">
        <v>2000</v>
      </c>
      <c r="H214" t="s">
        <v>690</v>
      </c>
      <c r="I214">
        <v>2026</v>
      </c>
      <c r="J214" t="s">
        <v>514</v>
      </c>
      <c r="K214" t="s">
        <v>514</v>
      </c>
      <c r="L214" t="s">
        <v>514</v>
      </c>
      <c r="M214" t="s">
        <v>90</v>
      </c>
      <c r="N214" s="73">
        <v>0</v>
      </c>
      <c r="O214" t="str">
        <f>IFERROR(VLOOKUP(Basef[[#This Row],[Regional]],Tabela11[],2,0),"Vago")</f>
        <v>Renan</v>
      </c>
      <c r="P214" t="str">
        <f>Basef[[#This Row],[Regional]]</f>
        <v>Pará Norte</v>
      </c>
    </row>
    <row r="215" spans="1:16" x14ac:dyDescent="0.3">
      <c r="A215">
        <v>45</v>
      </c>
      <c r="B215" t="s">
        <v>625</v>
      </c>
      <c r="C215" t="s">
        <v>246</v>
      </c>
      <c r="D215" t="s">
        <v>3</v>
      </c>
      <c r="E215">
        <v>19444.75</v>
      </c>
      <c r="F215">
        <v>19444.75</v>
      </c>
      <c r="G215">
        <v>32000</v>
      </c>
      <c r="H215" t="s">
        <v>690</v>
      </c>
      <c r="I215">
        <v>2026</v>
      </c>
      <c r="J215" t="s">
        <v>593</v>
      </c>
      <c r="K215" t="s">
        <v>593</v>
      </c>
      <c r="L215" t="s">
        <v>593</v>
      </c>
      <c r="M215" t="s">
        <v>90</v>
      </c>
      <c r="N215" s="73">
        <v>0</v>
      </c>
      <c r="O215" t="str">
        <f>IFERROR(VLOOKUP(Basef[[#This Row],[Regional]],Tabela11[],2,0),"Vago")</f>
        <v>Renan</v>
      </c>
      <c r="P215" t="str">
        <f>Basef[[#This Row],[Regional]]</f>
        <v>Pará Norte</v>
      </c>
    </row>
    <row r="216" spans="1:16" x14ac:dyDescent="0.3">
      <c r="A216">
        <v>45</v>
      </c>
      <c r="B216" t="s">
        <v>625</v>
      </c>
      <c r="C216" t="s">
        <v>246</v>
      </c>
      <c r="D216" t="s">
        <v>92</v>
      </c>
      <c r="E216">
        <v>11858.42</v>
      </c>
      <c r="F216">
        <v>11858.42</v>
      </c>
      <c r="G216">
        <v>26000</v>
      </c>
      <c r="H216" t="s">
        <v>690</v>
      </c>
      <c r="I216">
        <v>2026</v>
      </c>
      <c r="J216" t="s">
        <v>593</v>
      </c>
      <c r="K216" t="s">
        <v>593</v>
      </c>
      <c r="L216" t="s">
        <v>593</v>
      </c>
      <c r="M216" t="s">
        <v>90</v>
      </c>
      <c r="N216" s="73">
        <v>0</v>
      </c>
      <c r="O216" t="str">
        <f>IFERROR(VLOOKUP(Basef[[#This Row],[Regional]],Tabela11[],2,0),"Vago")</f>
        <v>Renan</v>
      </c>
      <c r="P216" t="str">
        <f>Basef[[#This Row],[Regional]]</f>
        <v>Pará Norte</v>
      </c>
    </row>
    <row r="217" spans="1:16" x14ac:dyDescent="0.3">
      <c r="A217">
        <v>531</v>
      </c>
      <c r="B217" t="s">
        <v>664</v>
      </c>
      <c r="C217" t="s">
        <v>246</v>
      </c>
      <c r="D217" t="s">
        <v>3</v>
      </c>
      <c r="E217">
        <v>31942.53</v>
      </c>
      <c r="F217">
        <v>31942.53</v>
      </c>
      <c r="G217">
        <v>58000</v>
      </c>
      <c r="H217" t="s">
        <v>690</v>
      </c>
      <c r="I217">
        <v>2026</v>
      </c>
      <c r="J217" t="s">
        <v>514</v>
      </c>
      <c r="K217" t="s">
        <v>514</v>
      </c>
      <c r="L217" t="s">
        <v>514</v>
      </c>
      <c r="M217" t="s">
        <v>90</v>
      </c>
      <c r="N217" s="73">
        <v>0</v>
      </c>
      <c r="O217" t="str">
        <f>IFERROR(VLOOKUP(Basef[[#This Row],[Regional]],Tabela11[],2,0),"Vago")</f>
        <v>Renan</v>
      </c>
      <c r="P217" t="str">
        <f>Basef[[#This Row],[Regional]]</f>
        <v>Pará Norte</v>
      </c>
    </row>
    <row r="218" spans="1:16" x14ac:dyDescent="0.3">
      <c r="A218">
        <v>37</v>
      </c>
      <c r="B218" t="s">
        <v>650</v>
      </c>
      <c r="C218" t="s">
        <v>246</v>
      </c>
      <c r="D218" t="s">
        <v>93</v>
      </c>
      <c r="E218">
        <v>840.29</v>
      </c>
      <c r="F218">
        <v>840.29</v>
      </c>
      <c r="G218">
        <v>1500</v>
      </c>
      <c r="H218" t="s">
        <v>690</v>
      </c>
      <c r="I218">
        <v>2026</v>
      </c>
      <c r="J218" t="s">
        <v>578</v>
      </c>
      <c r="K218" t="s">
        <v>578</v>
      </c>
      <c r="L218" t="s">
        <v>578</v>
      </c>
      <c r="M218" t="s">
        <v>90</v>
      </c>
      <c r="N218" s="73">
        <v>0</v>
      </c>
      <c r="O218" t="str">
        <f>IFERROR(VLOOKUP(Basef[[#This Row],[Regional]],Tabela11[],2,0),"Vago")</f>
        <v>Renan</v>
      </c>
      <c r="P218" t="str">
        <f>Basef[[#This Row],[Regional]]</f>
        <v>Pará Norte</v>
      </c>
    </row>
    <row r="219" spans="1:16" x14ac:dyDescent="0.3">
      <c r="A219">
        <v>223</v>
      </c>
      <c r="B219" t="s">
        <v>649</v>
      </c>
      <c r="C219" t="s">
        <v>246</v>
      </c>
      <c r="D219" t="s">
        <v>93</v>
      </c>
      <c r="E219">
        <v>5900.16</v>
      </c>
      <c r="F219">
        <v>5900.16</v>
      </c>
      <c r="G219">
        <v>6000</v>
      </c>
      <c r="H219" t="s">
        <v>690</v>
      </c>
      <c r="I219">
        <v>2026</v>
      </c>
      <c r="J219" t="s">
        <v>78</v>
      </c>
      <c r="K219" t="s">
        <v>78</v>
      </c>
      <c r="L219" t="s">
        <v>78</v>
      </c>
      <c r="M219" t="s">
        <v>90</v>
      </c>
      <c r="N219" s="73">
        <v>0</v>
      </c>
      <c r="O219" t="str">
        <f>IFERROR(VLOOKUP(Basef[[#This Row],[Regional]],Tabela11[],2,0),"Vago")</f>
        <v>Renan</v>
      </c>
      <c r="P219" t="str">
        <f>Basef[[#This Row],[Regional]]</f>
        <v>Pará Norte</v>
      </c>
    </row>
    <row r="220" spans="1:16" x14ac:dyDescent="0.3">
      <c r="A220">
        <v>263</v>
      </c>
      <c r="B220" t="s">
        <v>686</v>
      </c>
      <c r="C220" t="s">
        <v>246</v>
      </c>
      <c r="D220" t="s">
        <v>3</v>
      </c>
      <c r="E220">
        <v>30937.14</v>
      </c>
      <c r="F220">
        <v>30937.14</v>
      </c>
      <c r="G220">
        <v>46000</v>
      </c>
      <c r="H220" t="s">
        <v>690</v>
      </c>
      <c r="I220">
        <v>2026</v>
      </c>
      <c r="J220" t="s">
        <v>593</v>
      </c>
      <c r="K220" t="s">
        <v>593</v>
      </c>
      <c r="L220" t="s">
        <v>593</v>
      </c>
      <c r="M220" t="s">
        <v>90</v>
      </c>
      <c r="N220" s="73">
        <v>137.79</v>
      </c>
      <c r="O220" t="str">
        <f>IFERROR(VLOOKUP(Basef[[#This Row],[Regional]],Tabela11[],2,0),"Vago")</f>
        <v>Renan</v>
      </c>
      <c r="P220" t="str">
        <f>Basef[[#This Row],[Regional]]</f>
        <v>Pará Norte</v>
      </c>
    </row>
    <row r="221" spans="1:16" x14ac:dyDescent="0.3">
      <c r="A221">
        <v>531</v>
      </c>
      <c r="B221" t="s">
        <v>664</v>
      </c>
      <c r="C221" t="s">
        <v>246</v>
      </c>
      <c r="D221" t="s">
        <v>92</v>
      </c>
      <c r="E221">
        <v>22583.57</v>
      </c>
      <c r="F221">
        <v>22583.57</v>
      </c>
      <c r="G221">
        <v>40000</v>
      </c>
      <c r="H221" t="s">
        <v>690</v>
      </c>
      <c r="I221">
        <v>2026</v>
      </c>
      <c r="J221" t="s">
        <v>514</v>
      </c>
      <c r="K221" t="s">
        <v>514</v>
      </c>
      <c r="L221" t="s">
        <v>514</v>
      </c>
      <c r="M221" t="s">
        <v>90</v>
      </c>
      <c r="N221" s="73">
        <v>0</v>
      </c>
      <c r="O221" t="str">
        <f>IFERROR(VLOOKUP(Basef[[#This Row],[Regional]],Tabela11[],2,0),"Vago")</f>
        <v>Renan</v>
      </c>
      <c r="P221" t="str">
        <f>Basef[[#This Row],[Regional]]</f>
        <v>Pará Norte</v>
      </c>
    </row>
    <row r="222" spans="1:16" x14ac:dyDescent="0.3">
      <c r="A222">
        <v>49</v>
      </c>
      <c r="B222" t="s">
        <v>644</v>
      </c>
      <c r="C222" t="s">
        <v>246</v>
      </c>
      <c r="D222" t="s">
        <v>3</v>
      </c>
      <c r="E222">
        <v>29687.95</v>
      </c>
      <c r="F222">
        <v>29687.95</v>
      </c>
      <c r="G222">
        <v>45000</v>
      </c>
      <c r="H222" t="s">
        <v>690</v>
      </c>
      <c r="I222">
        <v>2026</v>
      </c>
      <c r="J222" t="s">
        <v>595</v>
      </c>
      <c r="K222" t="s">
        <v>595</v>
      </c>
      <c r="L222" t="s">
        <v>595</v>
      </c>
      <c r="M222" t="s">
        <v>90</v>
      </c>
      <c r="N222" s="73">
        <v>19.510000000000002</v>
      </c>
      <c r="O222" t="str">
        <f>IFERROR(VLOOKUP(Basef[[#This Row],[Regional]],Tabela11[],2,0),"Vago")</f>
        <v>Renan</v>
      </c>
      <c r="P222" t="str">
        <f>Basef[[#This Row],[Regional]]</f>
        <v>Pará Norte</v>
      </c>
    </row>
    <row r="223" spans="1:16" x14ac:dyDescent="0.3">
      <c r="A223">
        <v>263</v>
      </c>
      <c r="B223" t="s">
        <v>686</v>
      </c>
      <c r="C223" t="s">
        <v>246</v>
      </c>
      <c r="D223" t="s">
        <v>93</v>
      </c>
      <c r="E223">
        <v>1723.73</v>
      </c>
      <c r="F223">
        <v>1723.73</v>
      </c>
      <c r="G223">
        <v>2000</v>
      </c>
      <c r="H223" t="s">
        <v>690</v>
      </c>
      <c r="I223">
        <v>2026</v>
      </c>
      <c r="J223" t="s">
        <v>593</v>
      </c>
      <c r="K223" t="s">
        <v>593</v>
      </c>
      <c r="L223" t="s">
        <v>593</v>
      </c>
      <c r="M223" t="s">
        <v>90</v>
      </c>
      <c r="N223" s="73">
        <v>0</v>
      </c>
      <c r="O223" t="str">
        <f>IFERROR(VLOOKUP(Basef[[#This Row],[Regional]],Tabela11[],2,0),"Vago")</f>
        <v>Renan</v>
      </c>
      <c r="P223" t="str">
        <f>Basef[[#This Row],[Regional]]</f>
        <v>Pará Norte</v>
      </c>
    </row>
    <row r="224" spans="1:16" x14ac:dyDescent="0.3">
      <c r="A224">
        <v>276</v>
      </c>
      <c r="B224" t="s">
        <v>495</v>
      </c>
      <c r="C224" t="s">
        <v>246</v>
      </c>
      <c r="D224" t="s">
        <v>92</v>
      </c>
      <c r="E224">
        <v>22996.080000000002</v>
      </c>
      <c r="F224">
        <v>22996.080000000002</v>
      </c>
      <c r="G224">
        <v>40000</v>
      </c>
      <c r="H224" t="s">
        <v>690</v>
      </c>
      <c r="I224">
        <v>2026</v>
      </c>
      <c r="J224" t="s">
        <v>578</v>
      </c>
      <c r="K224" t="s">
        <v>578</v>
      </c>
      <c r="L224" t="s">
        <v>578</v>
      </c>
      <c r="M224" t="s">
        <v>90</v>
      </c>
      <c r="N224" s="73">
        <v>0</v>
      </c>
      <c r="O224" t="str">
        <f>IFERROR(VLOOKUP(Basef[[#This Row],[Regional]],Tabela11[],2,0),"Vago")</f>
        <v>Renan</v>
      </c>
      <c r="P224" t="str">
        <f>Basef[[#This Row],[Regional]]</f>
        <v>Pará Norte</v>
      </c>
    </row>
    <row r="225" spans="1:16" x14ac:dyDescent="0.3">
      <c r="A225">
        <v>548</v>
      </c>
      <c r="B225" t="s">
        <v>682</v>
      </c>
      <c r="C225" t="s">
        <v>246</v>
      </c>
      <c r="D225" t="s">
        <v>93</v>
      </c>
      <c r="E225">
        <v>1796.74</v>
      </c>
      <c r="F225">
        <v>1796.74</v>
      </c>
      <c r="G225">
        <v>2000</v>
      </c>
      <c r="H225" t="s">
        <v>690</v>
      </c>
      <c r="I225">
        <v>2026</v>
      </c>
      <c r="J225" t="s">
        <v>514</v>
      </c>
      <c r="K225" t="s">
        <v>514</v>
      </c>
      <c r="L225" t="s">
        <v>514</v>
      </c>
      <c r="M225" t="s">
        <v>90</v>
      </c>
      <c r="N225" s="73">
        <v>0</v>
      </c>
      <c r="O225" t="str">
        <f>IFERROR(VLOOKUP(Basef[[#This Row],[Regional]],Tabela11[],2,0),"Vago")</f>
        <v>Renan</v>
      </c>
      <c r="P225" t="str">
        <f>Basef[[#This Row],[Regional]]</f>
        <v>Pará Norte</v>
      </c>
    </row>
    <row r="226" spans="1:16" x14ac:dyDescent="0.3">
      <c r="A226">
        <v>253</v>
      </c>
      <c r="B226" t="s">
        <v>647</v>
      </c>
      <c r="C226" t="s">
        <v>246</v>
      </c>
      <c r="D226" t="s">
        <v>93</v>
      </c>
      <c r="E226">
        <v>1823.65</v>
      </c>
      <c r="F226">
        <v>1823.65</v>
      </c>
      <c r="G226">
        <v>2000</v>
      </c>
      <c r="H226" t="s">
        <v>690</v>
      </c>
      <c r="I226">
        <v>2026</v>
      </c>
      <c r="J226" t="s">
        <v>578</v>
      </c>
      <c r="K226" t="s">
        <v>90</v>
      </c>
      <c r="L226" t="s">
        <v>90</v>
      </c>
      <c r="M226" t="s">
        <v>90</v>
      </c>
      <c r="N226" s="73">
        <v>0</v>
      </c>
      <c r="O226" t="str">
        <f>IFERROR(VLOOKUP(Basef[[#This Row],[Regional]],Tabela11[],2,0),"Vago")</f>
        <v>Renan</v>
      </c>
      <c r="P226" t="str">
        <f>Basef[[#This Row],[Regional]]</f>
        <v>Pará Norte</v>
      </c>
    </row>
    <row r="227" spans="1:16" x14ac:dyDescent="0.3">
      <c r="A227">
        <v>46</v>
      </c>
      <c r="B227" t="s">
        <v>668</v>
      </c>
      <c r="C227" t="s">
        <v>246</v>
      </c>
      <c r="D227" t="s">
        <v>3</v>
      </c>
      <c r="E227">
        <v>18547.849999999999</v>
      </c>
      <c r="F227">
        <v>18547.849999999999</v>
      </c>
      <c r="G227">
        <v>32000</v>
      </c>
      <c r="H227" t="s">
        <v>690</v>
      </c>
      <c r="I227">
        <v>2026</v>
      </c>
      <c r="J227" t="s">
        <v>514</v>
      </c>
      <c r="K227" t="s">
        <v>514</v>
      </c>
      <c r="L227" t="s">
        <v>514</v>
      </c>
      <c r="M227" t="s">
        <v>90</v>
      </c>
      <c r="N227" s="73">
        <v>761.26</v>
      </c>
      <c r="O227" t="str">
        <f>IFERROR(VLOOKUP(Basef[[#This Row],[Regional]],Tabela11[],2,0),"Vago")</f>
        <v>Renan</v>
      </c>
      <c r="P227" t="str">
        <f>Basef[[#This Row],[Regional]]</f>
        <v>Pará Norte</v>
      </c>
    </row>
    <row r="228" spans="1:16" x14ac:dyDescent="0.3">
      <c r="A228">
        <v>223</v>
      </c>
      <c r="B228" t="s">
        <v>649</v>
      </c>
      <c r="C228" t="s">
        <v>246</v>
      </c>
      <c r="D228" t="s">
        <v>3</v>
      </c>
      <c r="E228">
        <v>84815.28</v>
      </c>
      <c r="F228">
        <v>84815.28</v>
      </c>
      <c r="G228">
        <v>110000</v>
      </c>
      <c r="H228" t="s">
        <v>690</v>
      </c>
      <c r="I228">
        <v>2026</v>
      </c>
      <c r="J228" t="s">
        <v>78</v>
      </c>
      <c r="K228" t="s">
        <v>78</v>
      </c>
      <c r="L228" t="s">
        <v>78</v>
      </c>
      <c r="M228" t="s">
        <v>90</v>
      </c>
      <c r="N228" s="73">
        <v>394.5</v>
      </c>
      <c r="O228" t="str">
        <f>IFERROR(VLOOKUP(Basef[[#This Row],[Regional]],Tabela11[],2,0),"Vago")</f>
        <v>Renan</v>
      </c>
      <c r="P228" t="str">
        <f>Basef[[#This Row],[Regional]]</f>
        <v>Pará Norte</v>
      </c>
    </row>
    <row r="229" spans="1:16" x14ac:dyDescent="0.3">
      <c r="A229">
        <v>52</v>
      </c>
      <c r="B229" t="s">
        <v>659</v>
      </c>
      <c r="C229" t="s">
        <v>222</v>
      </c>
      <c r="D229" t="s">
        <v>627</v>
      </c>
      <c r="E229">
        <v>2498.69</v>
      </c>
      <c r="F229">
        <v>2498.69</v>
      </c>
      <c r="G229">
        <v>5000</v>
      </c>
      <c r="H229" t="s">
        <v>690</v>
      </c>
      <c r="I229">
        <v>2026</v>
      </c>
      <c r="J229" t="s">
        <v>582</v>
      </c>
      <c r="K229" t="s">
        <v>582</v>
      </c>
      <c r="L229" t="s">
        <v>582</v>
      </c>
      <c r="M229" t="s">
        <v>90</v>
      </c>
      <c r="N229" s="73">
        <v>0</v>
      </c>
      <c r="O229" t="str">
        <f>IFERROR(VLOOKUP(Basef[[#This Row],[Regional]],Tabela11[],2,0),"Vago")</f>
        <v>Thieude</v>
      </c>
      <c r="P229" t="str">
        <f>Basef[[#This Row],[Regional]]</f>
        <v>MA Sul</v>
      </c>
    </row>
    <row r="230" spans="1:16" x14ac:dyDescent="0.3">
      <c r="A230">
        <v>94</v>
      </c>
      <c r="B230" t="s">
        <v>679</v>
      </c>
      <c r="C230" t="s">
        <v>222</v>
      </c>
      <c r="D230" t="s">
        <v>3</v>
      </c>
      <c r="E230">
        <v>59997.03</v>
      </c>
      <c r="F230">
        <v>59997.03</v>
      </c>
      <c r="G230">
        <v>65000</v>
      </c>
      <c r="H230" t="s">
        <v>690</v>
      </c>
      <c r="I230">
        <v>2026</v>
      </c>
      <c r="J230" t="s">
        <v>622</v>
      </c>
      <c r="K230" t="s">
        <v>622</v>
      </c>
      <c r="L230" t="s">
        <v>622</v>
      </c>
      <c r="M230" t="s">
        <v>90</v>
      </c>
      <c r="N230" s="73">
        <v>1164.31</v>
      </c>
      <c r="O230" t="str">
        <f>IFERROR(VLOOKUP(Basef[[#This Row],[Regional]],Tabela11[],2,0),"Vago")</f>
        <v>Thieude</v>
      </c>
      <c r="P230" t="str">
        <f>Basef[[#This Row],[Regional]]</f>
        <v>MA Sul</v>
      </c>
    </row>
    <row r="231" spans="1:16" x14ac:dyDescent="0.3">
      <c r="A231">
        <v>2</v>
      </c>
      <c r="B231" t="s">
        <v>663</v>
      </c>
      <c r="C231" t="s">
        <v>222</v>
      </c>
      <c r="D231" t="s">
        <v>3</v>
      </c>
      <c r="E231">
        <v>61577.73</v>
      </c>
      <c r="F231">
        <v>61577.73</v>
      </c>
      <c r="G231">
        <v>75000</v>
      </c>
      <c r="H231" t="s">
        <v>690</v>
      </c>
      <c r="I231">
        <v>2026</v>
      </c>
      <c r="J231" t="s">
        <v>83</v>
      </c>
      <c r="K231" t="s">
        <v>83</v>
      </c>
      <c r="L231" t="s">
        <v>83</v>
      </c>
      <c r="M231" t="s">
        <v>90</v>
      </c>
      <c r="N231" s="73">
        <v>433.34</v>
      </c>
      <c r="O231" t="str">
        <f>IFERROR(VLOOKUP(Basef[[#This Row],[Regional]],Tabela11[],2,0),"Vago")</f>
        <v>Thieude</v>
      </c>
      <c r="P231" t="str">
        <f>Basef[[#This Row],[Regional]]</f>
        <v>MA Sul</v>
      </c>
    </row>
    <row r="232" spans="1:16" x14ac:dyDescent="0.3">
      <c r="A232">
        <v>92</v>
      </c>
      <c r="B232" t="s">
        <v>648</v>
      </c>
      <c r="C232" t="s">
        <v>222</v>
      </c>
      <c r="D232" t="s">
        <v>93</v>
      </c>
      <c r="E232">
        <v>6150.44</v>
      </c>
      <c r="F232">
        <v>6150.44</v>
      </c>
      <c r="G232">
        <v>4000</v>
      </c>
      <c r="H232" t="s">
        <v>690</v>
      </c>
      <c r="I232">
        <v>2026</v>
      </c>
      <c r="J232" t="s">
        <v>83</v>
      </c>
      <c r="K232" t="s">
        <v>83</v>
      </c>
      <c r="L232" t="s">
        <v>83</v>
      </c>
      <c r="M232" t="s">
        <v>90</v>
      </c>
      <c r="N232" s="73">
        <v>0</v>
      </c>
      <c r="O232" t="str">
        <f>IFERROR(VLOOKUP(Basef[[#This Row],[Regional]],Tabela11[],2,0),"Vago")</f>
        <v>Thieude</v>
      </c>
      <c r="P232" t="str">
        <f>Basef[[#This Row],[Regional]]</f>
        <v>MA Sul</v>
      </c>
    </row>
    <row r="233" spans="1:16" x14ac:dyDescent="0.3">
      <c r="A233">
        <v>1</v>
      </c>
      <c r="B233" t="s">
        <v>220</v>
      </c>
      <c r="C233" t="s">
        <v>222</v>
      </c>
      <c r="D233" t="s">
        <v>93</v>
      </c>
      <c r="E233">
        <v>8802.1</v>
      </c>
      <c r="F233">
        <v>8802.1</v>
      </c>
      <c r="G233">
        <v>9000</v>
      </c>
      <c r="H233" t="s">
        <v>690</v>
      </c>
      <c r="I233">
        <v>2026</v>
      </c>
      <c r="J233" t="s">
        <v>622</v>
      </c>
      <c r="K233" t="s">
        <v>622</v>
      </c>
      <c r="L233" t="s">
        <v>622</v>
      </c>
      <c r="M233" t="s">
        <v>90</v>
      </c>
      <c r="N233" s="73">
        <v>0</v>
      </c>
      <c r="O233" t="str">
        <f>IFERROR(VLOOKUP(Basef[[#This Row],[Regional]],Tabela11[],2,0),"Vago")</f>
        <v>Thieude</v>
      </c>
      <c r="P233" t="str">
        <f>Basef[[#This Row],[Regional]]</f>
        <v>MA Sul</v>
      </c>
    </row>
    <row r="234" spans="1:16" x14ac:dyDescent="0.3">
      <c r="A234">
        <v>296</v>
      </c>
      <c r="B234" t="s">
        <v>494</v>
      </c>
      <c r="C234" t="s">
        <v>222</v>
      </c>
      <c r="D234" t="s">
        <v>93</v>
      </c>
      <c r="E234">
        <v>3734.46</v>
      </c>
      <c r="F234">
        <v>3734.46</v>
      </c>
      <c r="G234">
        <v>3000</v>
      </c>
      <c r="H234" t="s">
        <v>690</v>
      </c>
      <c r="I234">
        <v>2026</v>
      </c>
      <c r="J234" t="s">
        <v>622</v>
      </c>
      <c r="K234" t="s">
        <v>622</v>
      </c>
      <c r="L234" t="s">
        <v>622</v>
      </c>
      <c r="M234" t="s">
        <v>90</v>
      </c>
      <c r="N234" s="73">
        <v>0</v>
      </c>
      <c r="O234" t="str">
        <f>IFERROR(VLOOKUP(Basef[[#This Row],[Regional]],Tabela11[],2,0),"Vago")</f>
        <v>Thieude</v>
      </c>
      <c r="P234" t="str">
        <f>Basef[[#This Row],[Regional]]</f>
        <v>MA Sul</v>
      </c>
    </row>
    <row r="235" spans="1:16" x14ac:dyDescent="0.3">
      <c r="A235">
        <v>44</v>
      </c>
      <c r="B235" t="s">
        <v>654</v>
      </c>
      <c r="C235" t="s">
        <v>222</v>
      </c>
      <c r="D235" t="s">
        <v>3</v>
      </c>
      <c r="E235">
        <v>126290.9</v>
      </c>
      <c r="F235">
        <v>126290.9</v>
      </c>
      <c r="G235">
        <v>150000</v>
      </c>
      <c r="H235" t="s">
        <v>690</v>
      </c>
      <c r="I235">
        <v>2026</v>
      </c>
      <c r="J235" t="s">
        <v>544</v>
      </c>
      <c r="K235" t="s">
        <v>544</v>
      </c>
      <c r="L235" t="s">
        <v>544</v>
      </c>
      <c r="M235" t="s">
        <v>90</v>
      </c>
      <c r="N235" s="73">
        <v>0</v>
      </c>
      <c r="O235" t="str">
        <f>IFERROR(VLOOKUP(Basef[[#This Row],[Regional]],Tabela11[],2,0),"Vago")</f>
        <v>Thieude</v>
      </c>
      <c r="P235" t="str">
        <f>Basef[[#This Row],[Regional]]</f>
        <v>MA Sul</v>
      </c>
    </row>
    <row r="236" spans="1:16" x14ac:dyDescent="0.3">
      <c r="A236">
        <v>296</v>
      </c>
      <c r="B236" t="s">
        <v>494</v>
      </c>
      <c r="C236" t="s">
        <v>222</v>
      </c>
      <c r="D236" t="s">
        <v>3</v>
      </c>
      <c r="E236">
        <v>73848.31</v>
      </c>
      <c r="F236">
        <v>73848.31</v>
      </c>
      <c r="G236">
        <v>59500</v>
      </c>
      <c r="H236" t="s">
        <v>690</v>
      </c>
      <c r="I236">
        <v>2026</v>
      </c>
      <c r="J236" t="s">
        <v>622</v>
      </c>
      <c r="K236" t="s">
        <v>622</v>
      </c>
      <c r="L236" t="s">
        <v>622</v>
      </c>
      <c r="M236" t="s">
        <v>90</v>
      </c>
      <c r="N236" s="73">
        <v>990.67000000000007</v>
      </c>
      <c r="O236" t="str">
        <f>IFERROR(VLOOKUP(Basef[[#This Row],[Regional]],Tabela11[],2,0),"Vago")</f>
        <v>Thieude</v>
      </c>
      <c r="P236" t="str">
        <f>Basef[[#This Row],[Regional]]</f>
        <v>MA Sul</v>
      </c>
    </row>
    <row r="237" spans="1:16" x14ac:dyDescent="0.3">
      <c r="A237">
        <v>44</v>
      </c>
      <c r="B237" t="s">
        <v>654</v>
      </c>
      <c r="C237" t="s">
        <v>222</v>
      </c>
      <c r="D237" t="s">
        <v>92</v>
      </c>
      <c r="E237">
        <v>49710.720000000001</v>
      </c>
      <c r="F237">
        <v>49710.720000000001</v>
      </c>
      <c r="G237">
        <v>74000</v>
      </c>
      <c r="H237" t="s">
        <v>690</v>
      </c>
      <c r="I237">
        <v>2026</v>
      </c>
      <c r="J237" t="s">
        <v>544</v>
      </c>
      <c r="K237" t="s">
        <v>544</v>
      </c>
      <c r="L237" t="s">
        <v>544</v>
      </c>
      <c r="M237" t="s">
        <v>90</v>
      </c>
      <c r="N237" s="73">
        <v>0</v>
      </c>
      <c r="O237" t="str">
        <f>IFERROR(VLOOKUP(Basef[[#This Row],[Regional]],Tabela11[],2,0),"Vago")</f>
        <v>Thieude</v>
      </c>
      <c r="P237" t="str">
        <f>Basef[[#This Row],[Regional]]</f>
        <v>MA Sul</v>
      </c>
    </row>
    <row r="238" spans="1:16" x14ac:dyDescent="0.3">
      <c r="A238">
        <v>52</v>
      </c>
      <c r="B238" t="s">
        <v>659</v>
      </c>
      <c r="C238" t="s">
        <v>222</v>
      </c>
      <c r="D238" t="s">
        <v>3</v>
      </c>
      <c r="E238">
        <v>62787.49</v>
      </c>
      <c r="F238">
        <v>62787.49</v>
      </c>
      <c r="G238">
        <v>56000</v>
      </c>
      <c r="H238" t="s">
        <v>690</v>
      </c>
      <c r="I238">
        <v>2026</v>
      </c>
      <c r="J238" t="s">
        <v>582</v>
      </c>
      <c r="K238" t="s">
        <v>582</v>
      </c>
      <c r="L238" t="s">
        <v>582</v>
      </c>
      <c r="M238" t="s">
        <v>90</v>
      </c>
      <c r="N238" s="73">
        <v>400.83</v>
      </c>
      <c r="O238" t="str">
        <f>IFERROR(VLOOKUP(Basef[[#This Row],[Regional]],Tabela11[],2,0),"Vago")</f>
        <v>Thieude</v>
      </c>
      <c r="P238" t="str">
        <f>Basef[[#This Row],[Regional]]</f>
        <v>MA Sul</v>
      </c>
    </row>
    <row r="239" spans="1:16" x14ac:dyDescent="0.3">
      <c r="A239">
        <v>52</v>
      </c>
      <c r="B239" t="s">
        <v>659</v>
      </c>
      <c r="C239" t="s">
        <v>222</v>
      </c>
      <c r="D239" t="s">
        <v>92</v>
      </c>
      <c r="E239">
        <v>17962.009999999998</v>
      </c>
      <c r="F239">
        <v>17962.009999999998</v>
      </c>
      <c r="G239">
        <v>26000</v>
      </c>
      <c r="H239" t="s">
        <v>690</v>
      </c>
      <c r="I239">
        <v>2026</v>
      </c>
      <c r="J239" t="s">
        <v>582</v>
      </c>
      <c r="K239" t="s">
        <v>582</v>
      </c>
      <c r="L239" t="s">
        <v>582</v>
      </c>
      <c r="M239" t="s">
        <v>90</v>
      </c>
      <c r="N239" s="73">
        <v>0</v>
      </c>
      <c r="O239" t="str">
        <f>IFERROR(VLOOKUP(Basef[[#This Row],[Regional]],Tabela11[],2,0),"Vago")</f>
        <v>Thieude</v>
      </c>
      <c r="P239" t="str">
        <f>Basef[[#This Row],[Regional]]</f>
        <v>MA Sul</v>
      </c>
    </row>
    <row r="240" spans="1:16" x14ac:dyDescent="0.3">
      <c r="A240">
        <v>15</v>
      </c>
      <c r="B240" t="s">
        <v>685</v>
      </c>
      <c r="C240" t="s">
        <v>222</v>
      </c>
      <c r="D240" t="s">
        <v>627</v>
      </c>
      <c r="E240">
        <v>3307.83</v>
      </c>
      <c r="F240">
        <v>3307.83</v>
      </c>
      <c r="G240">
        <v>5000</v>
      </c>
      <c r="H240" t="s">
        <v>690</v>
      </c>
      <c r="I240">
        <v>2026</v>
      </c>
      <c r="J240" t="s">
        <v>582</v>
      </c>
      <c r="K240" t="s">
        <v>582</v>
      </c>
      <c r="L240" t="s">
        <v>582</v>
      </c>
      <c r="M240" t="s">
        <v>90</v>
      </c>
      <c r="N240" s="73">
        <v>0</v>
      </c>
      <c r="O240" t="str">
        <f>IFERROR(VLOOKUP(Basef[[#This Row],[Regional]],Tabela11[],2,0),"Vago")</f>
        <v>Thieude</v>
      </c>
      <c r="P240" t="str">
        <f>Basef[[#This Row],[Regional]]</f>
        <v>MA Sul</v>
      </c>
    </row>
    <row r="241" spans="1:16" x14ac:dyDescent="0.3">
      <c r="A241">
        <v>52</v>
      </c>
      <c r="B241" t="s">
        <v>659</v>
      </c>
      <c r="C241" t="s">
        <v>222</v>
      </c>
      <c r="D241" t="s">
        <v>93</v>
      </c>
      <c r="E241">
        <v>3176.54</v>
      </c>
      <c r="F241">
        <v>3176.54</v>
      </c>
      <c r="G241">
        <v>2500</v>
      </c>
      <c r="H241" t="s">
        <v>690</v>
      </c>
      <c r="I241">
        <v>2026</v>
      </c>
      <c r="J241" t="s">
        <v>582</v>
      </c>
      <c r="K241" t="s">
        <v>582</v>
      </c>
      <c r="L241" t="s">
        <v>582</v>
      </c>
      <c r="M241" t="s">
        <v>90</v>
      </c>
      <c r="N241" s="73">
        <v>0</v>
      </c>
      <c r="O241" t="str">
        <f>IFERROR(VLOOKUP(Basef[[#This Row],[Regional]],Tabela11[],2,0),"Vago")</f>
        <v>Thieude</v>
      </c>
      <c r="P241" t="str">
        <f>Basef[[#This Row],[Regional]]</f>
        <v>MA Sul</v>
      </c>
    </row>
    <row r="242" spans="1:16" x14ac:dyDescent="0.3">
      <c r="A242">
        <v>2</v>
      </c>
      <c r="B242" t="s">
        <v>663</v>
      </c>
      <c r="C242" t="s">
        <v>222</v>
      </c>
      <c r="D242" t="s">
        <v>627</v>
      </c>
      <c r="E242">
        <v>747.25</v>
      </c>
      <c r="F242">
        <v>747.25</v>
      </c>
      <c r="G242">
        <v>5500</v>
      </c>
      <c r="H242" t="s">
        <v>690</v>
      </c>
      <c r="I242">
        <v>2026</v>
      </c>
      <c r="J242" t="s">
        <v>83</v>
      </c>
      <c r="K242" t="s">
        <v>83</v>
      </c>
      <c r="L242" t="s">
        <v>83</v>
      </c>
      <c r="M242" t="s">
        <v>90</v>
      </c>
      <c r="N242" s="73">
        <v>0</v>
      </c>
      <c r="O242" t="str">
        <f>IFERROR(VLOOKUP(Basef[[#This Row],[Regional]],Tabela11[],2,0),"Vago")</f>
        <v>Thieude</v>
      </c>
      <c r="P242" t="str">
        <f>Basef[[#This Row],[Regional]]</f>
        <v>MA Sul</v>
      </c>
    </row>
    <row r="243" spans="1:16" x14ac:dyDescent="0.3">
      <c r="A243">
        <v>1</v>
      </c>
      <c r="B243" t="s">
        <v>220</v>
      </c>
      <c r="C243" t="s">
        <v>222</v>
      </c>
      <c r="D243" t="s">
        <v>92</v>
      </c>
      <c r="E243">
        <v>51751.64</v>
      </c>
      <c r="F243">
        <v>51751.64</v>
      </c>
      <c r="G243">
        <v>60000</v>
      </c>
      <c r="H243" t="s">
        <v>690</v>
      </c>
      <c r="I243">
        <v>2026</v>
      </c>
      <c r="J243" t="s">
        <v>622</v>
      </c>
      <c r="K243" t="s">
        <v>622</v>
      </c>
      <c r="L243" t="s">
        <v>622</v>
      </c>
      <c r="M243" t="s">
        <v>90</v>
      </c>
      <c r="N243" s="73">
        <v>0</v>
      </c>
      <c r="O243" t="str">
        <f>IFERROR(VLOOKUP(Basef[[#This Row],[Regional]],Tabela11[],2,0),"Vago")</f>
        <v>Thieude</v>
      </c>
      <c r="P243" t="str">
        <f>Basef[[#This Row],[Regional]]</f>
        <v>MA Sul</v>
      </c>
    </row>
    <row r="244" spans="1:16" x14ac:dyDescent="0.3">
      <c r="A244">
        <v>296</v>
      </c>
      <c r="B244" t="s">
        <v>494</v>
      </c>
      <c r="C244" t="s">
        <v>222</v>
      </c>
      <c r="D244" t="s">
        <v>92</v>
      </c>
      <c r="E244">
        <v>25115.77</v>
      </c>
      <c r="F244">
        <v>25115.77</v>
      </c>
      <c r="G244">
        <v>20000</v>
      </c>
      <c r="H244" t="s">
        <v>690</v>
      </c>
      <c r="I244">
        <v>2026</v>
      </c>
      <c r="J244" t="s">
        <v>622</v>
      </c>
      <c r="K244" t="s">
        <v>622</v>
      </c>
      <c r="L244" t="s">
        <v>622</v>
      </c>
      <c r="M244" t="s">
        <v>90</v>
      </c>
      <c r="N244" s="73">
        <v>0</v>
      </c>
      <c r="O244" t="str">
        <f>IFERROR(VLOOKUP(Basef[[#This Row],[Regional]],Tabela11[],2,0),"Vago")</f>
        <v>Thieude</v>
      </c>
      <c r="P244" t="str">
        <f>Basef[[#This Row],[Regional]]</f>
        <v>MA Sul</v>
      </c>
    </row>
    <row r="245" spans="1:16" x14ac:dyDescent="0.3">
      <c r="A245">
        <v>95</v>
      </c>
      <c r="B245" t="s">
        <v>652</v>
      </c>
      <c r="C245" t="s">
        <v>222</v>
      </c>
      <c r="D245" t="s">
        <v>627</v>
      </c>
      <c r="E245">
        <v>1123.42</v>
      </c>
      <c r="F245">
        <v>1123.42</v>
      </c>
      <c r="G245">
        <v>4500</v>
      </c>
      <c r="H245" t="s">
        <v>690</v>
      </c>
      <c r="I245">
        <v>2026</v>
      </c>
      <c r="J245" t="s">
        <v>83</v>
      </c>
      <c r="K245" t="s">
        <v>83</v>
      </c>
      <c r="L245" t="s">
        <v>83</v>
      </c>
      <c r="M245" t="s">
        <v>90</v>
      </c>
      <c r="N245" s="73">
        <v>0</v>
      </c>
      <c r="O245" t="str">
        <f>IFERROR(VLOOKUP(Basef[[#This Row],[Regional]],Tabela11[],2,0),"Vago")</f>
        <v>Thieude</v>
      </c>
      <c r="P245" t="str">
        <f>Basef[[#This Row],[Regional]]</f>
        <v>MA Sul</v>
      </c>
    </row>
    <row r="246" spans="1:16" x14ac:dyDescent="0.3">
      <c r="A246">
        <v>15</v>
      </c>
      <c r="B246" t="s">
        <v>685</v>
      </c>
      <c r="C246" t="s">
        <v>222</v>
      </c>
      <c r="D246" t="s">
        <v>92</v>
      </c>
      <c r="E246">
        <v>16503.47</v>
      </c>
      <c r="F246">
        <v>16503.47</v>
      </c>
      <c r="G246">
        <v>30000</v>
      </c>
      <c r="H246" t="s">
        <v>690</v>
      </c>
      <c r="I246">
        <v>2026</v>
      </c>
      <c r="J246" t="s">
        <v>582</v>
      </c>
      <c r="K246" t="s">
        <v>582</v>
      </c>
      <c r="L246" t="s">
        <v>582</v>
      </c>
      <c r="M246" t="s">
        <v>90</v>
      </c>
      <c r="N246" s="73">
        <v>0</v>
      </c>
      <c r="O246" t="str">
        <f>IFERROR(VLOOKUP(Basef[[#This Row],[Regional]],Tabela11[],2,0),"Vago")</f>
        <v>Thieude</v>
      </c>
      <c r="P246" t="str">
        <f>Basef[[#This Row],[Regional]]</f>
        <v>MA Sul</v>
      </c>
    </row>
    <row r="247" spans="1:16" x14ac:dyDescent="0.3">
      <c r="A247">
        <v>94</v>
      </c>
      <c r="B247" t="s">
        <v>679</v>
      </c>
      <c r="C247" t="s">
        <v>222</v>
      </c>
      <c r="D247" t="s">
        <v>93</v>
      </c>
      <c r="E247">
        <v>3384.82</v>
      </c>
      <c r="F247">
        <v>3384.82</v>
      </c>
      <c r="G247">
        <v>2000</v>
      </c>
      <c r="H247" t="s">
        <v>690</v>
      </c>
      <c r="I247">
        <v>2026</v>
      </c>
      <c r="J247" t="s">
        <v>622</v>
      </c>
      <c r="K247" t="s">
        <v>622</v>
      </c>
      <c r="L247" t="s">
        <v>622</v>
      </c>
      <c r="M247" t="s">
        <v>90</v>
      </c>
      <c r="N247" s="73">
        <v>0</v>
      </c>
      <c r="O247" t="str">
        <f>IFERROR(VLOOKUP(Basef[[#This Row],[Regional]],Tabela11[],2,0),"Vago")</f>
        <v>Thieude</v>
      </c>
      <c r="P247" t="str">
        <f>Basef[[#This Row],[Regional]]</f>
        <v>MA Sul</v>
      </c>
    </row>
    <row r="248" spans="1:16" x14ac:dyDescent="0.3">
      <c r="A248">
        <v>94</v>
      </c>
      <c r="B248" t="s">
        <v>679</v>
      </c>
      <c r="C248" t="s">
        <v>222</v>
      </c>
      <c r="D248" t="s">
        <v>92</v>
      </c>
      <c r="E248">
        <v>41095.870000000003</v>
      </c>
      <c r="F248">
        <v>41095.870000000003</v>
      </c>
      <c r="G248">
        <v>35000</v>
      </c>
      <c r="H248" t="s">
        <v>690</v>
      </c>
      <c r="I248">
        <v>2026</v>
      </c>
      <c r="J248" t="s">
        <v>622</v>
      </c>
      <c r="K248" t="s">
        <v>622</v>
      </c>
      <c r="L248" t="s">
        <v>622</v>
      </c>
      <c r="M248" t="s">
        <v>90</v>
      </c>
      <c r="N248" s="73">
        <v>0</v>
      </c>
      <c r="O248" t="str">
        <f>IFERROR(VLOOKUP(Basef[[#This Row],[Regional]],Tabela11[],2,0),"Vago")</f>
        <v>Thieude</v>
      </c>
      <c r="P248" t="str">
        <f>Basef[[#This Row],[Regional]]</f>
        <v>MA Sul</v>
      </c>
    </row>
    <row r="249" spans="1:16" x14ac:dyDescent="0.3">
      <c r="A249">
        <v>4</v>
      </c>
      <c r="B249" t="s">
        <v>673</v>
      </c>
      <c r="C249" t="s">
        <v>222</v>
      </c>
      <c r="D249" t="s">
        <v>92</v>
      </c>
      <c r="E249">
        <v>37412.76</v>
      </c>
      <c r="F249">
        <v>37412.76</v>
      </c>
      <c r="G249">
        <v>65000</v>
      </c>
      <c r="H249" t="s">
        <v>690</v>
      </c>
      <c r="I249">
        <v>2026</v>
      </c>
      <c r="J249" t="s">
        <v>90</v>
      </c>
      <c r="K249" t="s">
        <v>90</v>
      </c>
      <c r="L249" t="s">
        <v>90</v>
      </c>
      <c r="M249" t="s">
        <v>90</v>
      </c>
      <c r="N249" s="73">
        <v>0</v>
      </c>
      <c r="O249" t="str">
        <f>IFERROR(VLOOKUP(Basef[[#This Row],[Regional]],Tabela11[],2,0),"Vago")</f>
        <v>Thieude</v>
      </c>
      <c r="P249" t="str">
        <f>Basef[[#This Row],[Regional]]</f>
        <v>MA Sul</v>
      </c>
    </row>
    <row r="250" spans="1:16" x14ac:dyDescent="0.3">
      <c r="A250">
        <v>15</v>
      </c>
      <c r="B250" t="s">
        <v>685</v>
      </c>
      <c r="C250" t="s">
        <v>222</v>
      </c>
      <c r="D250" t="s">
        <v>93</v>
      </c>
      <c r="E250">
        <v>2018.77</v>
      </c>
      <c r="F250">
        <v>2018.77</v>
      </c>
      <c r="G250">
        <v>1500</v>
      </c>
      <c r="H250" t="s">
        <v>690</v>
      </c>
      <c r="I250">
        <v>2026</v>
      </c>
      <c r="J250" t="s">
        <v>582</v>
      </c>
      <c r="K250" t="s">
        <v>582</v>
      </c>
      <c r="L250" t="s">
        <v>582</v>
      </c>
      <c r="M250" t="s">
        <v>90</v>
      </c>
      <c r="N250" s="73">
        <v>0</v>
      </c>
      <c r="O250" t="str">
        <f>IFERROR(VLOOKUP(Basef[[#This Row],[Regional]],Tabela11[],2,0),"Vago")</f>
        <v>Thieude</v>
      </c>
      <c r="P250" t="str">
        <f>Basef[[#This Row],[Regional]]</f>
        <v>MA Sul</v>
      </c>
    </row>
    <row r="251" spans="1:16" x14ac:dyDescent="0.3">
      <c r="A251">
        <v>4</v>
      </c>
      <c r="B251" t="s">
        <v>673</v>
      </c>
      <c r="C251" t="s">
        <v>222</v>
      </c>
      <c r="D251" t="s">
        <v>93</v>
      </c>
      <c r="E251">
        <v>11269.7</v>
      </c>
      <c r="F251">
        <v>11269.7</v>
      </c>
      <c r="G251">
        <v>5000</v>
      </c>
      <c r="H251" t="s">
        <v>690</v>
      </c>
      <c r="I251">
        <v>2026</v>
      </c>
      <c r="J251" t="s">
        <v>90</v>
      </c>
      <c r="K251" t="s">
        <v>90</v>
      </c>
      <c r="L251" t="s">
        <v>90</v>
      </c>
      <c r="M251" t="s">
        <v>90</v>
      </c>
      <c r="N251" s="73">
        <v>0</v>
      </c>
      <c r="O251" t="str">
        <f>IFERROR(VLOOKUP(Basef[[#This Row],[Regional]],Tabela11[],2,0),"Vago")</f>
        <v>Thieude</v>
      </c>
      <c r="P251" t="str">
        <f>Basef[[#This Row],[Regional]]</f>
        <v>MA Sul</v>
      </c>
    </row>
    <row r="252" spans="1:16" x14ac:dyDescent="0.3">
      <c r="A252">
        <v>4</v>
      </c>
      <c r="B252" t="s">
        <v>673</v>
      </c>
      <c r="C252" t="s">
        <v>222</v>
      </c>
      <c r="D252" t="s">
        <v>3</v>
      </c>
      <c r="E252">
        <v>102141.33</v>
      </c>
      <c r="F252">
        <v>102141.33</v>
      </c>
      <c r="G252">
        <v>128500</v>
      </c>
      <c r="H252" t="s">
        <v>690</v>
      </c>
      <c r="I252">
        <v>2026</v>
      </c>
      <c r="J252" t="s">
        <v>90</v>
      </c>
      <c r="K252" t="s">
        <v>90</v>
      </c>
      <c r="L252" t="s">
        <v>90</v>
      </c>
      <c r="M252" t="s">
        <v>90</v>
      </c>
      <c r="N252" s="73">
        <v>126.24</v>
      </c>
      <c r="O252" t="str">
        <f>IFERROR(VLOOKUP(Basef[[#This Row],[Regional]],Tabela11[],2,0),"Vago")</f>
        <v>Thieude</v>
      </c>
      <c r="P252" t="str">
        <f>Basef[[#This Row],[Regional]]</f>
        <v>MA Sul</v>
      </c>
    </row>
    <row r="253" spans="1:16" x14ac:dyDescent="0.3">
      <c r="A253">
        <v>1</v>
      </c>
      <c r="B253" t="s">
        <v>220</v>
      </c>
      <c r="C253" t="s">
        <v>222</v>
      </c>
      <c r="D253" t="s">
        <v>3</v>
      </c>
      <c r="E253">
        <v>74332.399999999994</v>
      </c>
      <c r="F253">
        <v>74332.399999999994</v>
      </c>
      <c r="G253">
        <v>104500</v>
      </c>
      <c r="H253" t="s">
        <v>690</v>
      </c>
      <c r="I253">
        <v>2026</v>
      </c>
      <c r="J253" t="s">
        <v>622</v>
      </c>
      <c r="K253" t="s">
        <v>622</v>
      </c>
      <c r="L253" t="s">
        <v>622</v>
      </c>
      <c r="M253" t="s">
        <v>90</v>
      </c>
      <c r="N253" s="73">
        <v>1121.43</v>
      </c>
      <c r="O253" t="str">
        <f>IFERROR(VLOOKUP(Basef[[#This Row],[Regional]],Tabela11[],2,0),"Vago")</f>
        <v>Thieude</v>
      </c>
      <c r="P253" t="str">
        <f>Basef[[#This Row],[Regional]]</f>
        <v>MA Sul</v>
      </c>
    </row>
    <row r="254" spans="1:16" x14ac:dyDescent="0.3">
      <c r="A254">
        <v>95</v>
      </c>
      <c r="B254" t="s">
        <v>652</v>
      </c>
      <c r="C254" t="s">
        <v>222</v>
      </c>
      <c r="D254" t="s">
        <v>92</v>
      </c>
      <c r="E254">
        <v>15493.55</v>
      </c>
      <c r="F254">
        <v>15493.55</v>
      </c>
      <c r="G254">
        <v>32000</v>
      </c>
      <c r="H254" t="s">
        <v>690</v>
      </c>
      <c r="I254">
        <v>2026</v>
      </c>
      <c r="J254" t="s">
        <v>83</v>
      </c>
      <c r="K254" t="s">
        <v>83</v>
      </c>
      <c r="L254" t="s">
        <v>83</v>
      </c>
      <c r="M254" t="s">
        <v>90</v>
      </c>
      <c r="N254" s="73">
        <v>0</v>
      </c>
      <c r="O254" t="str">
        <f>IFERROR(VLOOKUP(Basef[[#This Row],[Regional]],Tabela11[],2,0),"Vago")</f>
        <v>Thieude</v>
      </c>
      <c r="P254" t="str">
        <f>Basef[[#This Row],[Regional]]</f>
        <v>MA Sul</v>
      </c>
    </row>
    <row r="255" spans="1:16" x14ac:dyDescent="0.3">
      <c r="A255">
        <v>92</v>
      </c>
      <c r="B255" t="s">
        <v>648</v>
      </c>
      <c r="C255" t="s">
        <v>222</v>
      </c>
      <c r="D255" t="s">
        <v>3</v>
      </c>
      <c r="E255">
        <v>114601.46</v>
      </c>
      <c r="F255">
        <v>114601.46</v>
      </c>
      <c r="G255">
        <v>140000</v>
      </c>
      <c r="H255" t="s">
        <v>690</v>
      </c>
      <c r="I255">
        <v>2026</v>
      </c>
      <c r="J255" t="s">
        <v>83</v>
      </c>
      <c r="K255" t="s">
        <v>83</v>
      </c>
      <c r="L255" t="s">
        <v>83</v>
      </c>
      <c r="M255" t="s">
        <v>90</v>
      </c>
      <c r="N255" s="73">
        <v>152.6</v>
      </c>
      <c r="O255" t="str">
        <f>IFERROR(VLOOKUP(Basef[[#This Row],[Regional]],Tabela11[],2,0),"Vago")</f>
        <v>Thieude</v>
      </c>
      <c r="P255" t="str">
        <f>Basef[[#This Row],[Regional]]</f>
        <v>MA Sul</v>
      </c>
    </row>
    <row r="256" spans="1:16" x14ac:dyDescent="0.3">
      <c r="A256">
        <v>92</v>
      </c>
      <c r="B256" t="s">
        <v>648</v>
      </c>
      <c r="C256" t="s">
        <v>222</v>
      </c>
      <c r="D256" t="s">
        <v>627</v>
      </c>
      <c r="E256">
        <v>2310.69</v>
      </c>
      <c r="F256">
        <v>2310.69</v>
      </c>
      <c r="G256">
        <v>5500</v>
      </c>
      <c r="H256" t="s">
        <v>690</v>
      </c>
      <c r="I256">
        <v>2026</v>
      </c>
      <c r="J256" t="s">
        <v>83</v>
      </c>
      <c r="K256" t="s">
        <v>83</v>
      </c>
      <c r="L256" t="s">
        <v>83</v>
      </c>
      <c r="M256" t="s">
        <v>90</v>
      </c>
      <c r="N256" s="73">
        <v>0</v>
      </c>
      <c r="O256" t="str">
        <f>IFERROR(VLOOKUP(Basef[[#This Row],[Regional]],Tabela11[],2,0),"Vago")</f>
        <v>Thieude</v>
      </c>
      <c r="P256" t="str">
        <f>Basef[[#This Row],[Regional]]</f>
        <v>MA Sul</v>
      </c>
    </row>
    <row r="257" spans="1:16" x14ac:dyDescent="0.3">
      <c r="A257">
        <v>1</v>
      </c>
      <c r="B257" t="s">
        <v>220</v>
      </c>
      <c r="C257" t="s">
        <v>222</v>
      </c>
      <c r="D257" t="s">
        <v>627</v>
      </c>
      <c r="E257">
        <v>2514.1999999999998</v>
      </c>
      <c r="F257">
        <v>2514.1999999999998</v>
      </c>
      <c r="G257">
        <v>7000</v>
      </c>
      <c r="H257" t="s">
        <v>690</v>
      </c>
      <c r="I257">
        <v>2026</v>
      </c>
      <c r="J257" t="s">
        <v>622</v>
      </c>
      <c r="K257" t="s">
        <v>622</v>
      </c>
      <c r="L257" t="s">
        <v>622</v>
      </c>
      <c r="M257" t="s">
        <v>90</v>
      </c>
      <c r="N257" s="73">
        <v>0</v>
      </c>
      <c r="O257" t="str">
        <f>IFERROR(VLOOKUP(Basef[[#This Row],[Regional]],Tabela11[],2,0),"Vago")</f>
        <v>Thieude</v>
      </c>
      <c r="P257" t="str">
        <f>Basef[[#This Row],[Regional]]</f>
        <v>MA Sul</v>
      </c>
    </row>
    <row r="258" spans="1:16" x14ac:dyDescent="0.3">
      <c r="A258">
        <v>95</v>
      </c>
      <c r="B258" t="s">
        <v>652</v>
      </c>
      <c r="C258" t="s">
        <v>222</v>
      </c>
      <c r="D258" t="s">
        <v>3</v>
      </c>
      <c r="E258">
        <v>33424.269999999997</v>
      </c>
      <c r="F258">
        <v>33424.269999999997</v>
      </c>
      <c r="G258">
        <v>50000</v>
      </c>
      <c r="H258" t="s">
        <v>690</v>
      </c>
      <c r="I258">
        <v>2026</v>
      </c>
      <c r="J258" t="s">
        <v>83</v>
      </c>
      <c r="K258" t="s">
        <v>83</v>
      </c>
      <c r="L258" t="s">
        <v>83</v>
      </c>
      <c r="M258" t="s">
        <v>90</v>
      </c>
      <c r="N258" s="73">
        <v>755.54000000000008</v>
      </c>
      <c r="O258" t="str">
        <f>IFERROR(VLOOKUP(Basef[[#This Row],[Regional]],Tabela11[],2,0),"Vago")</f>
        <v>Thieude</v>
      </c>
      <c r="P258" t="str">
        <f>Basef[[#This Row],[Regional]]</f>
        <v>MA Sul</v>
      </c>
    </row>
    <row r="259" spans="1:16" x14ac:dyDescent="0.3">
      <c r="A259">
        <v>95</v>
      </c>
      <c r="B259" t="s">
        <v>652</v>
      </c>
      <c r="C259" t="s">
        <v>222</v>
      </c>
      <c r="D259" t="s">
        <v>93</v>
      </c>
      <c r="E259">
        <v>2294.46</v>
      </c>
      <c r="F259">
        <v>2294.46</v>
      </c>
      <c r="G259">
        <v>1500</v>
      </c>
      <c r="H259" t="s">
        <v>690</v>
      </c>
      <c r="I259">
        <v>2026</v>
      </c>
      <c r="J259" t="s">
        <v>83</v>
      </c>
      <c r="K259" t="s">
        <v>83</v>
      </c>
      <c r="L259" t="s">
        <v>83</v>
      </c>
      <c r="M259" t="s">
        <v>90</v>
      </c>
      <c r="N259" s="73">
        <v>0</v>
      </c>
      <c r="O259" t="str">
        <f>IFERROR(VLOOKUP(Basef[[#This Row],[Regional]],Tabela11[],2,0),"Vago")</f>
        <v>Thieude</v>
      </c>
      <c r="P259" t="str">
        <f>Basef[[#This Row],[Regional]]</f>
        <v>MA Sul</v>
      </c>
    </row>
    <row r="260" spans="1:16" x14ac:dyDescent="0.3">
      <c r="A260">
        <v>2</v>
      </c>
      <c r="B260" t="s">
        <v>663</v>
      </c>
      <c r="C260" t="s">
        <v>222</v>
      </c>
      <c r="D260" t="s">
        <v>93</v>
      </c>
      <c r="E260">
        <v>2670.34</v>
      </c>
      <c r="F260">
        <v>2670.34</v>
      </c>
      <c r="G260">
        <v>2000</v>
      </c>
      <c r="H260" t="s">
        <v>690</v>
      </c>
      <c r="I260">
        <v>2026</v>
      </c>
      <c r="J260" t="s">
        <v>83</v>
      </c>
      <c r="K260" t="s">
        <v>83</v>
      </c>
      <c r="L260" t="s">
        <v>83</v>
      </c>
      <c r="M260" t="s">
        <v>90</v>
      </c>
      <c r="N260" s="73">
        <v>0</v>
      </c>
      <c r="O260" t="str">
        <f>IFERROR(VLOOKUP(Basef[[#This Row],[Regional]],Tabela11[],2,0),"Vago")</f>
        <v>Thieude</v>
      </c>
      <c r="P260" t="str">
        <f>Basef[[#This Row],[Regional]]</f>
        <v>MA Sul</v>
      </c>
    </row>
    <row r="261" spans="1:16" x14ac:dyDescent="0.3">
      <c r="A261">
        <v>92</v>
      </c>
      <c r="B261" t="s">
        <v>648</v>
      </c>
      <c r="C261" t="s">
        <v>222</v>
      </c>
      <c r="D261" t="s">
        <v>92</v>
      </c>
      <c r="E261">
        <v>43866.52</v>
      </c>
      <c r="F261">
        <v>43866.52</v>
      </c>
      <c r="G261">
        <v>66000</v>
      </c>
      <c r="H261" t="s">
        <v>690</v>
      </c>
      <c r="I261">
        <v>2026</v>
      </c>
      <c r="J261" t="s">
        <v>83</v>
      </c>
      <c r="K261" t="s">
        <v>83</v>
      </c>
      <c r="L261" t="s">
        <v>83</v>
      </c>
      <c r="M261" t="s">
        <v>90</v>
      </c>
      <c r="N261" s="73">
        <v>0</v>
      </c>
      <c r="O261" t="str">
        <f>IFERROR(VLOOKUP(Basef[[#This Row],[Regional]],Tabela11[],2,0),"Vago")</f>
        <v>Thieude</v>
      </c>
      <c r="P261" t="str">
        <f>Basef[[#This Row],[Regional]]</f>
        <v>MA Sul</v>
      </c>
    </row>
    <row r="262" spans="1:16" x14ac:dyDescent="0.3">
      <c r="A262">
        <v>2</v>
      </c>
      <c r="B262" t="s">
        <v>663</v>
      </c>
      <c r="C262" t="s">
        <v>222</v>
      </c>
      <c r="D262" t="s">
        <v>92</v>
      </c>
      <c r="E262">
        <v>29551.83</v>
      </c>
      <c r="F262">
        <v>29551.83</v>
      </c>
      <c r="G262">
        <v>45000</v>
      </c>
      <c r="H262" t="s">
        <v>690</v>
      </c>
      <c r="I262">
        <v>2026</v>
      </c>
      <c r="J262" t="s">
        <v>83</v>
      </c>
      <c r="K262" t="s">
        <v>83</v>
      </c>
      <c r="L262" t="s">
        <v>83</v>
      </c>
      <c r="M262" t="s">
        <v>90</v>
      </c>
      <c r="N262" s="73">
        <v>0</v>
      </c>
      <c r="O262" t="str">
        <f>IFERROR(VLOOKUP(Basef[[#This Row],[Regional]],Tabela11[],2,0),"Vago")</f>
        <v>Thieude</v>
      </c>
      <c r="P262" t="str">
        <f>Basef[[#This Row],[Regional]]</f>
        <v>MA Sul</v>
      </c>
    </row>
    <row r="263" spans="1:16" x14ac:dyDescent="0.3">
      <c r="A263">
        <v>44</v>
      </c>
      <c r="B263" t="s">
        <v>654</v>
      </c>
      <c r="C263" t="s">
        <v>222</v>
      </c>
      <c r="D263" t="s">
        <v>93</v>
      </c>
      <c r="E263">
        <v>9055.59</v>
      </c>
      <c r="F263">
        <v>9055.59</v>
      </c>
      <c r="G263">
        <v>5000</v>
      </c>
      <c r="H263" t="s">
        <v>690</v>
      </c>
      <c r="I263">
        <v>2026</v>
      </c>
      <c r="J263" t="s">
        <v>544</v>
      </c>
      <c r="K263" t="s">
        <v>544</v>
      </c>
      <c r="L263" t="s">
        <v>544</v>
      </c>
      <c r="M263" t="s">
        <v>90</v>
      </c>
      <c r="N263" s="73">
        <v>0</v>
      </c>
      <c r="O263" t="str">
        <f>IFERROR(VLOOKUP(Basef[[#This Row],[Regional]],Tabela11[],2,0),"Vago")</f>
        <v>Thieude</v>
      </c>
      <c r="P263" t="str">
        <f>Basef[[#This Row],[Regional]]</f>
        <v>MA Sul</v>
      </c>
    </row>
    <row r="264" spans="1:16" x14ac:dyDescent="0.3">
      <c r="A264">
        <v>15</v>
      </c>
      <c r="B264" t="s">
        <v>685</v>
      </c>
      <c r="C264" t="s">
        <v>222</v>
      </c>
      <c r="D264" t="s">
        <v>3</v>
      </c>
      <c r="E264">
        <v>44500.25</v>
      </c>
      <c r="F264">
        <v>44500.25</v>
      </c>
      <c r="G264">
        <v>50000</v>
      </c>
      <c r="H264" t="s">
        <v>690</v>
      </c>
      <c r="I264">
        <v>2026</v>
      </c>
      <c r="J264" t="s">
        <v>582</v>
      </c>
      <c r="K264" t="s">
        <v>582</v>
      </c>
      <c r="L264" t="s">
        <v>582</v>
      </c>
      <c r="M264" t="s">
        <v>90</v>
      </c>
      <c r="N264" s="73">
        <v>604.5</v>
      </c>
      <c r="O264" t="str">
        <f>IFERROR(VLOOKUP(Basef[[#This Row],[Regional]],Tabela11[],2,0),"Vago")</f>
        <v>Thieude</v>
      </c>
      <c r="P264" t="str">
        <f>Basef[[#This Row],[Regional]]</f>
        <v>MA Sul</v>
      </c>
    </row>
    <row r="265" spans="1:16" x14ac:dyDescent="0.3">
      <c r="A265">
        <v>537</v>
      </c>
      <c r="B265" t="s">
        <v>674</v>
      </c>
      <c r="C265" t="s">
        <v>116</v>
      </c>
      <c r="D265" t="s">
        <v>3</v>
      </c>
      <c r="E265">
        <v>114332.09</v>
      </c>
      <c r="F265">
        <v>114332.09</v>
      </c>
      <c r="G265">
        <v>75000</v>
      </c>
      <c r="H265" t="s">
        <v>690</v>
      </c>
      <c r="I265">
        <v>2026</v>
      </c>
      <c r="J265" t="s">
        <v>64</v>
      </c>
      <c r="K265" t="s">
        <v>64</v>
      </c>
      <c r="L265" t="s">
        <v>64</v>
      </c>
      <c r="M265" t="s">
        <v>90</v>
      </c>
      <c r="N265" s="73">
        <v>168.95</v>
      </c>
      <c r="O265" t="str">
        <f>IFERROR(VLOOKUP(Basef[[#This Row],[Regional]],Tabela11[],2,0),"Vago")</f>
        <v>Thieude</v>
      </c>
      <c r="P265" t="str">
        <f>Basef[[#This Row],[Regional]]</f>
        <v>MA Norte</v>
      </c>
    </row>
    <row r="266" spans="1:16" x14ac:dyDescent="0.3">
      <c r="A266">
        <v>39</v>
      </c>
      <c r="B266" t="s">
        <v>677</v>
      </c>
      <c r="C266" t="s">
        <v>116</v>
      </c>
      <c r="D266" t="s">
        <v>3</v>
      </c>
      <c r="E266">
        <v>56162.48</v>
      </c>
      <c r="F266">
        <v>56162.48</v>
      </c>
      <c r="G266">
        <v>59500</v>
      </c>
      <c r="H266" t="s">
        <v>690</v>
      </c>
      <c r="I266">
        <v>2026</v>
      </c>
      <c r="J266" t="s">
        <v>597</v>
      </c>
      <c r="K266" t="s">
        <v>597</v>
      </c>
      <c r="L266" t="s">
        <v>597</v>
      </c>
      <c r="M266" t="s">
        <v>90</v>
      </c>
      <c r="N266" s="73">
        <v>2747.63</v>
      </c>
      <c r="O266" t="str">
        <f>IFERROR(VLOOKUP(Basef[[#This Row],[Regional]],Tabela11[],2,0),"Vago")</f>
        <v>Thieude</v>
      </c>
      <c r="P266" t="str">
        <f>Basef[[#This Row],[Regional]]</f>
        <v>MA Norte</v>
      </c>
    </row>
    <row r="267" spans="1:16" x14ac:dyDescent="0.3">
      <c r="A267">
        <v>429</v>
      </c>
      <c r="B267" t="s">
        <v>150</v>
      </c>
      <c r="C267" t="s">
        <v>116</v>
      </c>
      <c r="D267" t="s">
        <v>93</v>
      </c>
      <c r="E267">
        <v>1668.86</v>
      </c>
      <c r="F267">
        <v>1668.86</v>
      </c>
      <c r="G267">
        <v>1000</v>
      </c>
      <c r="H267" t="s">
        <v>690</v>
      </c>
      <c r="I267">
        <v>2026</v>
      </c>
      <c r="J267" t="s">
        <v>354</v>
      </c>
      <c r="K267" t="s">
        <v>354</v>
      </c>
      <c r="L267" t="s">
        <v>354</v>
      </c>
      <c r="M267" t="s">
        <v>90</v>
      </c>
      <c r="N267" s="73">
        <v>0</v>
      </c>
      <c r="O267" t="str">
        <f>IFERROR(VLOOKUP(Basef[[#This Row],[Regional]],Tabela11[],2,0),"Vago")</f>
        <v>Thieude</v>
      </c>
      <c r="P267" t="str">
        <f>Basef[[#This Row],[Regional]]</f>
        <v>MA Norte</v>
      </c>
    </row>
    <row r="268" spans="1:16" x14ac:dyDescent="0.3">
      <c r="A268">
        <v>434</v>
      </c>
      <c r="B268" t="s">
        <v>155</v>
      </c>
      <c r="C268" t="s">
        <v>116</v>
      </c>
      <c r="D268" t="s">
        <v>3</v>
      </c>
      <c r="E268">
        <v>71250.539999999994</v>
      </c>
      <c r="F268">
        <v>71250.539999999994</v>
      </c>
      <c r="G268">
        <v>80500</v>
      </c>
      <c r="H268" t="s">
        <v>690</v>
      </c>
      <c r="I268">
        <v>2026</v>
      </c>
      <c r="J268" t="s">
        <v>64</v>
      </c>
      <c r="K268" t="s">
        <v>64</v>
      </c>
      <c r="L268" t="s">
        <v>64</v>
      </c>
      <c r="M268" t="s">
        <v>90</v>
      </c>
      <c r="N268" s="73">
        <v>404.37</v>
      </c>
      <c r="O268" t="str">
        <f>IFERROR(VLOOKUP(Basef[[#This Row],[Regional]],Tabela11[],2,0),"Vago")</f>
        <v>Thieude</v>
      </c>
      <c r="P268" t="str">
        <f>Basef[[#This Row],[Regional]]</f>
        <v>MA Norte</v>
      </c>
    </row>
    <row r="269" spans="1:16" x14ac:dyDescent="0.3">
      <c r="A269">
        <v>445</v>
      </c>
      <c r="B269" t="s">
        <v>161</v>
      </c>
      <c r="C269" t="s">
        <v>116</v>
      </c>
      <c r="D269" t="s">
        <v>93</v>
      </c>
      <c r="E269">
        <v>3588.09</v>
      </c>
      <c r="F269">
        <v>3588.09</v>
      </c>
      <c r="G269">
        <v>1500</v>
      </c>
      <c r="H269" t="s">
        <v>690</v>
      </c>
      <c r="I269">
        <v>2026</v>
      </c>
      <c r="J269" t="s">
        <v>354</v>
      </c>
      <c r="K269" t="s">
        <v>354</v>
      </c>
      <c r="L269" t="s">
        <v>354</v>
      </c>
      <c r="M269" t="s">
        <v>90</v>
      </c>
      <c r="N269" s="73">
        <v>0</v>
      </c>
      <c r="O269" t="str">
        <f>IFERROR(VLOOKUP(Basef[[#This Row],[Regional]],Tabela11[],2,0),"Vago")</f>
        <v>Thieude</v>
      </c>
      <c r="P269" t="str">
        <f>Basef[[#This Row],[Regional]]</f>
        <v>MA Norte</v>
      </c>
    </row>
    <row r="270" spans="1:16" x14ac:dyDescent="0.3">
      <c r="A270">
        <v>91</v>
      </c>
      <c r="B270" t="s">
        <v>651</v>
      </c>
      <c r="C270" t="s">
        <v>116</v>
      </c>
      <c r="D270" t="s">
        <v>92</v>
      </c>
      <c r="E270">
        <v>21446.63</v>
      </c>
      <c r="F270">
        <v>21446.63</v>
      </c>
      <c r="G270">
        <v>20000</v>
      </c>
      <c r="H270" t="s">
        <v>690</v>
      </c>
      <c r="I270">
        <v>2026</v>
      </c>
      <c r="J270" t="s">
        <v>565</v>
      </c>
      <c r="K270" t="s">
        <v>565</v>
      </c>
      <c r="L270" t="s">
        <v>565</v>
      </c>
      <c r="M270" t="s">
        <v>90</v>
      </c>
      <c r="N270" s="73">
        <v>0</v>
      </c>
      <c r="O270" t="str">
        <f>IFERROR(VLOOKUP(Basef[[#This Row],[Regional]],Tabela11[],2,0),"Vago")</f>
        <v>Thieude</v>
      </c>
      <c r="P270" t="str">
        <f>Basef[[#This Row],[Regional]]</f>
        <v>MA Norte</v>
      </c>
    </row>
    <row r="271" spans="1:16" x14ac:dyDescent="0.3">
      <c r="A271">
        <v>537</v>
      </c>
      <c r="B271" t="s">
        <v>674</v>
      </c>
      <c r="C271" t="s">
        <v>116</v>
      </c>
      <c r="D271" t="s">
        <v>93</v>
      </c>
      <c r="E271">
        <v>5423.01</v>
      </c>
      <c r="F271">
        <v>5423.01</v>
      </c>
      <c r="G271">
        <v>3500</v>
      </c>
      <c r="H271" t="s">
        <v>690</v>
      </c>
      <c r="I271">
        <v>2026</v>
      </c>
      <c r="J271" t="s">
        <v>64</v>
      </c>
      <c r="K271" t="s">
        <v>64</v>
      </c>
      <c r="L271" t="s">
        <v>64</v>
      </c>
      <c r="M271" t="s">
        <v>90</v>
      </c>
      <c r="N271" s="73">
        <v>0</v>
      </c>
      <c r="O271" t="str">
        <f>IFERROR(VLOOKUP(Basef[[#This Row],[Regional]],Tabela11[],2,0),"Vago")</f>
        <v>Thieude</v>
      </c>
      <c r="P271" t="str">
        <f>Basef[[#This Row],[Regional]]</f>
        <v>MA Norte</v>
      </c>
    </row>
    <row r="272" spans="1:16" x14ac:dyDescent="0.3">
      <c r="A272">
        <v>451</v>
      </c>
      <c r="B272" t="s">
        <v>292</v>
      </c>
      <c r="C272" t="s">
        <v>116</v>
      </c>
      <c r="D272" t="s">
        <v>3</v>
      </c>
      <c r="E272">
        <v>29189.72</v>
      </c>
      <c r="F272">
        <v>29189.72</v>
      </c>
      <c r="G272">
        <v>26500</v>
      </c>
      <c r="H272" t="s">
        <v>690</v>
      </c>
      <c r="I272">
        <v>2026</v>
      </c>
      <c r="J272" t="s">
        <v>354</v>
      </c>
      <c r="K272" t="s">
        <v>354</v>
      </c>
      <c r="L272" t="s">
        <v>354</v>
      </c>
      <c r="M272" t="s">
        <v>90</v>
      </c>
      <c r="N272" s="73">
        <v>0</v>
      </c>
      <c r="O272" t="str">
        <f>IFERROR(VLOOKUP(Basef[[#This Row],[Regional]],Tabela11[],2,0),"Vago")</f>
        <v>Thieude</v>
      </c>
      <c r="P272" t="str">
        <f>Basef[[#This Row],[Regional]]</f>
        <v>MA Norte</v>
      </c>
    </row>
    <row r="273" spans="1:16" x14ac:dyDescent="0.3">
      <c r="A273">
        <v>3</v>
      </c>
      <c r="B273" t="s">
        <v>658</v>
      </c>
      <c r="C273" t="s">
        <v>116</v>
      </c>
      <c r="D273" t="s">
        <v>3</v>
      </c>
      <c r="E273">
        <v>39119.49</v>
      </c>
      <c r="F273">
        <v>39119.49</v>
      </c>
      <c r="G273">
        <v>50000</v>
      </c>
      <c r="H273" t="s">
        <v>690</v>
      </c>
      <c r="I273">
        <v>2026</v>
      </c>
      <c r="J273" t="s">
        <v>565</v>
      </c>
      <c r="K273" t="s">
        <v>565</v>
      </c>
      <c r="L273" t="s">
        <v>565</v>
      </c>
      <c r="M273" t="s">
        <v>90</v>
      </c>
      <c r="N273" s="73">
        <v>1027.21</v>
      </c>
      <c r="O273" t="str">
        <f>IFERROR(VLOOKUP(Basef[[#This Row],[Regional]],Tabela11[],2,0),"Vago")</f>
        <v>Thieude</v>
      </c>
      <c r="P273" t="str">
        <f>Basef[[#This Row],[Regional]]</f>
        <v>MA Norte</v>
      </c>
    </row>
    <row r="274" spans="1:16" x14ac:dyDescent="0.3">
      <c r="A274">
        <v>434</v>
      </c>
      <c r="B274" t="s">
        <v>155</v>
      </c>
      <c r="C274" t="s">
        <v>116</v>
      </c>
      <c r="D274" t="s">
        <v>92</v>
      </c>
      <c r="E274">
        <v>20613.79</v>
      </c>
      <c r="F274">
        <v>20613.79</v>
      </c>
      <c r="G274">
        <v>20000</v>
      </c>
      <c r="H274" t="s">
        <v>690</v>
      </c>
      <c r="I274">
        <v>2026</v>
      </c>
      <c r="J274" t="s">
        <v>64</v>
      </c>
      <c r="K274" t="s">
        <v>64</v>
      </c>
      <c r="L274" t="s">
        <v>64</v>
      </c>
      <c r="M274" t="s">
        <v>90</v>
      </c>
      <c r="N274" s="73">
        <v>0</v>
      </c>
      <c r="O274" t="str">
        <f>IFERROR(VLOOKUP(Basef[[#This Row],[Regional]],Tabela11[],2,0),"Vago")</f>
        <v>Thieude</v>
      </c>
      <c r="P274" t="str">
        <f>Basef[[#This Row],[Regional]]</f>
        <v>MA Norte</v>
      </c>
    </row>
    <row r="275" spans="1:16" x14ac:dyDescent="0.3">
      <c r="A275">
        <v>445</v>
      </c>
      <c r="B275" t="s">
        <v>161</v>
      </c>
      <c r="C275" t="s">
        <v>116</v>
      </c>
      <c r="D275" t="s">
        <v>92</v>
      </c>
      <c r="E275">
        <v>25224.99</v>
      </c>
      <c r="F275">
        <v>25224.99</v>
      </c>
      <c r="G275">
        <v>22000</v>
      </c>
      <c r="H275" t="s">
        <v>690</v>
      </c>
      <c r="I275">
        <v>2026</v>
      </c>
      <c r="J275" t="s">
        <v>354</v>
      </c>
      <c r="K275" t="s">
        <v>354</v>
      </c>
      <c r="L275" t="s">
        <v>354</v>
      </c>
      <c r="M275" t="s">
        <v>90</v>
      </c>
      <c r="N275" s="73">
        <v>0</v>
      </c>
      <c r="O275" t="str">
        <f>IFERROR(VLOOKUP(Basef[[#This Row],[Regional]],Tabela11[],2,0),"Vago")</f>
        <v>Thieude</v>
      </c>
      <c r="P275" t="str">
        <f>Basef[[#This Row],[Regional]]</f>
        <v>MA Norte</v>
      </c>
    </row>
    <row r="276" spans="1:16" x14ac:dyDescent="0.3">
      <c r="A276">
        <v>429</v>
      </c>
      <c r="B276" t="s">
        <v>150</v>
      </c>
      <c r="C276" t="s">
        <v>116</v>
      </c>
      <c r="D276" t="s">
        <v>92</v>
      </c>
      <c r="E276">
        <v>20947.66</v>
      </c>
      <c r="F276">
        <v>20947.66</v>
      </c>
      <c r="G276">
        <v>18000</v>
      </c>
      <c r="H276" t="s">
        <v>690</v>
      </c>
      <c r="I276">
        <v>2026</v>
      </c>
      <c r="J276" t="s">
        <v>354</v>
      </c>
      <c r="K276" t="s">
        <v>354</v>
      </c>
      <c r="L276" t="s">
        <v>354</v>
      </c>
      <c r="M276" t="s">
        <v>90</v>
      </c>
      <c r="N276" s="73">
        <v>0</v>
      </c>
      <c r="O276" t="str">
        <f>IFERROR(VLOOKUP(Basef[[#This Row],[Regional]],Tabela11[],2,0),"Vago")</f>
        <v>Thieude</v>
      </c>
      <c r="P276" t="str">
        <f>Basef[[#This Row],[Regional]]</f>
        <v>MA Norte</v>
      </c>
    </row>
    <row r="277" spans="1:16" x14ac:dyDescent="0.3">
      <c r="A277">
        <v>451</v>
      </c>
      <c r="B277" t="s">
        <v>292</v>
      </c>
      <c r="C277" t="s">
        <v>116</v>
      </c>
      <c r="D277" t="s">
        <v>92</v>
      </c>
      <c r="E277">
        <v>21284.29</v>
      </c>
      <c r="F277">
        <v>21284.29</v>
      </c>
      <c r="G277">
        <v>15000</v>
      </c>
      <c r="H277" t="s">
        <v>690</v>
      </c>
      <c r="I277">
        <v>2026</v>
      </c>
      <c r="J277" t="s">
        <v>354</v>
      </c>
      <c r="K277" t="s">
        <v>354</v>
      </c>
      <c r="L277" t="s">
        <v>354</v>
      </c>
      <c r="M277" t="s">
        <v>90</v>
      </c>
      <c r="N277" s="73">
        <v>0</v>
      </c>
      <c r="O277" t="str">
        <f>IFERROR(VLOOKUP(Basef[[#This Row],[Regional]],Tabela11[],2,0),"Vago")</f>
        <v>Thieude</v>
      </c>
      <c r="P277" t="str">
        <f>Basef[[#This Row],[Regional]]</f>
        <v>MA Norte</v>
      </c>
    </row>
    <row r="278" spans="1:16" x14ac:dyDescent="0.3">
      <c r="A278">
        <v>3</v>
      </c>
      <c r="B278" t="s">
        <v>658</v>
      </c>
      <c r="C278" t="s">
        <v>116</v>
      </c>
      <c r="D278" t="s">
        <v>92</v>
      </c>
      <c r="E278">
        <v>21687.01</v>
      </c>
      <c r="F278">
        <v>21687.01</v>
      </c>
      <c r="G278">
        <v>25000</v>
      </c>
      <c r="H278" t="s">
        <v>690</v>
      </c>
      <c r="I278">
        <v>2026</v>
      </c>
      <c r="J278" t="s">
        <v>565</v>
      </c>
      <c r="K278" t="s">
        <v>565</v>
      </c>
      <c r="L278" t="s">
        <v>565</v>
      </c>
      <c r="M278" t="s">
        <v>90</v>
      </c>
      <c r="N278" s="73">
        <v>0</v>
      </c>
      <c r="O278" t="str">
        <f>IFERROR(VLOOKUP(Basef[[#This Row],[Regional]],Tabela11[],2,0),"Vago")</f>
        <v>Thieude</v>
      </c>
      <c r="P278" t="str">
        <f>Basef[[#This Row],[Regional]]</f>
        <v>MA Norte</v>
      </c>
    </row>
    <row r="279" spans="1:16" x14ac:dyDescent="0.3">
      <c r="A279">
        <v>222</v>
      </c>
      <c r="B279" t="s">
        <v>638</v>
      </c>
      <c r="C279" t="s">
        <v>116</v>
      </c>
      <c r="D279" t="s">
        <v>3</v>
      </c>
      <c r="E279">
        <v>32716.22</v>
      </c>
      <c r="F279">
        <v>32716.22</v>
      </c>
      <c r="G279">
        <v>51000</v>
      </c>
      <c r="H279" t="s">
        <v>690</v>
      </c>
      <c r="I279">
        <v>2026</v>
      </c>
      <c r="J279" t="s">
        <v>354</v>
      </c>
      <c r="K279" t="s">
        <v>354</v>
      </c>
      <c r="L279" t="s">
        <v>354</v>
      </c>
      <c r="M279" t="s">
        <v>90</v>
      </c>
      <c r="N279" s="73">
        <v>0</v>
      </c>
      <c r="O279" t="str">
        <f>IFERROR(VLOOKUP(Basef[[#This Row],[Regional]],Tabela11[],2,0),"Vago")</f>
        <v>Thieude</v>
      </c>
      <c r="P279" t="str">
        <f>Basef[[#This Row],[Regional]]</f>
        <v>MA Norte</v>
      </c>
    </row>
    <row r="280" spans="1:16" x14ac:dyDescent="0.3">
      <c r="A280">
        <v>222</v>
      </c>
      <c r="B280" t="s">
        <v>638</v>
      </c>
      <c r="C280" t="s">
        <v>116</v>
      </c>
      <c r="D280" t="s">
        <v>93</v>
      </c>
      <c r="E280">
        <v>3939.61</v>
      </c>
      <c r="F280">
        <v>3939.61</v>
      </c>
      <c r="G280">
        <v>2000</v>
      </c>
      <c r="H280" t="s">
        <v>690</v>
      </c>
      <c r="I280">
        <v>2026</v>
      </c>
      <c r="J280" t="s">
        <v>354</v>
      </c>
      <c r="K280" t="s">
        <v>354</v>
      </c>
      <c r="L280" t="s">
        <v>354</v>
      </c>
      <c r="M280" t="s">
        <v>90</v>
      </c>
      <c r="N280" s="73">
        <v>0</v>
      </c>
      <c r="O280" t="str">
        <f>IFERROR(VLOOKUP(Basef[[#This Row],[Regional]],Tabela11[],2,0),"Vago")</f>
        <v>Thieude</v>
      </c>
      <c r="P280" t="str">
        <f>Basef[[#This Row],[Regional]]</f>
        <v>MA Norte</v>
      </c>
    </row>
    <row r="281" spans="1:16" x14ac:dyDescent="0.3">
      <c r="A281">
        <v>429</v>
      </c>
      <c r="B281" t="s">
        <v>150</v>
      </c>
      <c r="C281" t="s">
        <v>116</v>
      </c>
      <c r="D281" t="s">
        <v>3</v>
      </c>
      <c r="E281">
        <v>23934.7</v>
      </c>
      <c r="F281">
        <v>23934.7</v>
      </c>
      <c r="G281">
        <v>30000</v>
      </c>
      <c r="H281" t="s">
        <v>690</v>
      </c>
      <c r="I281">
        <v>2026</v>
      </c>
      <c r="J281" t="s">
        <v>354</v>
      </c>
      <c r="K281" t="s">
        <v>354</v>
      </c>
      <c r="L281" t="s">
        <v>354</v>
      </c>
      <c r="M281" t="s">
        <v>90</v>
      </c>
      <c r="N281" s="73">
        <v>0</v>
      </c>
      <c r="O281" t="str">
        <f>IFERROR(VLOOKUP(Basef[[#This Row],[Regional]],Tabela11[],2,0),"Vago")</f>
        <v>Thieude</v>
      </c>
      <c r="P281" t="str">
        <f>Basef[[#This Row],[Regional]]</f>
        <v>MA Norte</v>
      </c>
    </row>
    <row r="282" spans="1:16" x14ac:dyDescent="0.3">
      <c r="A282">
        <v>3</v>
      </c>
      <c r="B282" t="s">
        <v>658</v>
      </c>
      <c r="C282" t="s">
        <v>116</v>
      </c>
      <c r="D282" t="s">
        <v>93</v>
      </c>
      <c r="E282">
        <v>6779.83</v>
      </c>
      <c r="F282">
        <v>6779.83</v>
      </c>
      <c r="G282">
        <v>5500</v>
      </c>
      <c r="H282" t="s">
        <v>690</v>
      </c>
      <c r="I282">
        <v>2026</v>
      </c>
      <c r="J282" t="s">
        <v>565</v>
      </c>
      <c r="K282" t="s">
        <v>565</v>
      </c>
      <c r="L282" t="s">
        <v>565</v>
      </c>
      <c r="M282" t="s">
        <v>90</v>
      </c>
      <c r="N282" s="73">
        <v>0</v>
      </c>
      <c r="O282" t="str">
        <f>IFERROR(VLOOKUP(Basef[[#This Row],[Regional]],Tabela11[],2,0),"Vago")</f>
        <v>Thieude</v>
      </c>
      <c r="P282" t="str">
        <f>Basef[[#This Row],[Regional]]</f>
        <v>MA Norte</v>
      </c>
    </row>
    <row r="283" spans="1:16" x14ac:dyDescent="0.3">
      <c r="A283">
        <v>91</v>
      </c>
      <c r="B283" t="s">
        <v>651</v>
      </c>
      <c r="C283" t="s">
        <v>116</v>
      </c>
      <c r="D283" t="s">
        <v>93</v>
      </c>
      <c r="E283">
        <v>7322.62</v>
      </c>
      <c r="F283">
        <v>7322.62</v>
      </c>
      <c r="G283">
        <v>9500</v>
      </c>
      <c r="H283" t="s">
        <v>690</v>
      </c>
      <c r="I283">
        <v>2026</v>
      </c>
      <c r="J283" t="s">
        <v>565</v>
      </c>
      <c r="K283" t="s">
        <v>565</v>
      </c>
      <c r="L283" t="s">
        <v>565</v>
      </c>
      <c r="M283" t="s">
        <v>90</v>
      </c>
      <c r="N283" s="73">
        <v>0</v>
      </c>
      <c r="O283" t="str">
        <f>IFERROR(VLOOKUP(Basef[[#This Row],[Regional]],Tabela11[],2,0),"Vago")</f>
        <v>Thieude</v>
      </c>
      <c r="P283" t="str">
        <f>Basef[[#This Row],[Regional]]</f>
        <v>MA Norte</v>
      </c>
    </row>
    <row r="284" spans="1:16" x14ac:dyDescent="0.3">
      <c r="A284">
        <v>91</v>
      </c>
      <c r="B284" t="s">
        <v>651</v>
      </c>
      <c r="C284" t="s">
        <v>116</v>
      </c>
      <c r="D284" t="s">
        <v>3</v>
      </c>
      <c r="E284">
        <v>53099.38</v>
      </c>
      <c r="F284">
        <v>53099.38</v>
      </c>
      <c r="G284">
        <v>50000</v>
      </c>
      <c r="H284" t="s">
        <v>690</v>
      </c>
      <c r="I284">
        <v>2026</v>
      </c>
      <c r="J284" t="s">
        <v>565</v>
      </c>
      <c r="K284" t="s">
        <v>565</v>
      </c>
      <c r="L284" t="s">
        <v>565</v>
      </c>
      <c r="M284" t="s">
        <v>90</v>
      </c>
      <c r="N284" s="73">
        <v>872.68000000000006</v>
      </c>
      <c r="O284" t="str">
        <f>IFERROR(VLOOKUP(Basef[[#This Row],[Regional]],Tabela11[],2,0),"Vago")</f>
        <v>Thieude</v>
      </c>
      <c r="P284" t="str">
        <f>Basef[[#This Row],[Regional]]</f>
        <v>MA Norte</v>
      </c>
    </row>
    <row r="285" spans="1:16" x14ac:dyDescent="0.3">
      <c r="A285">
        <v>222</v>
      </c>
      <c r="B285" t="s">
        <v>638</v>
      </c>
      <c r="C285" t="s">
        <v>116</v>
      </c>
      <c r="D285" t="s">
        <v>92</v>
      </c>
      <c r="E285">
        <v>13771.87</v>
      </c>
      <c r="F285">
        <v>13771.87</v>
      </c>
      <c r="G285">
        <v>12000</v>
      </c>
      <c r="H285" t="s">
        <v>690</v>
      </c>
      <c r="I285">
        <v>2026</v>
      </c>
      <c r="J285" t="s">
        <v>354</v>
      </c>
      <c r="K285" t="s">
        <v>354</v>
      </c>
      <c r="L285" t="s">
        <v>354</v>
      </c>
      <c r="M285" t="s">
        <v>90</v>
      </c>
      <c r="N285" s="73">
        <v>0</v>
      </c>
      <c r="O285" t="str">
        <f>IFERROR(VLOOKUP(Basef[[#This Row],[Regional]],Tabela11[],2,0),"Vago")</f>
        <v>Thieude</v>
      </c>
      <c r="P285" t="str">
        <f>Basef[[#This Row],[Regional]]</f>
        <v>MA Norte</v>
      </c>
    </row>
    <row r="286" spans="1:16" x14ac:dyDescent="0.3">
      <c r="A286">
        <v>424</v>
      </c>
      <c r="B286" t="s">
        <v>144</v>
      </c>
      <c r="C286" t="s">
        <v>116</v>
      </c>
      <c r="D286" t="s">
        <v>93</v>
      </c>
      <c r="E286">
        <v>1216.48</v>
      </c>
      <c r="F286">
        <v>1303.3699999999999</v>
      </c>
      <c r="G286">
        <v>1000</v>
      </c>
      <c r="H286" t="s">
        <v>690</v>
      </c>
      <c r="I286">
        <v>2026</v>
      </c>
      <c r="J286" t="s">
        <v>354</v>
      </c>
      <c r="K286" t="s">
        <v>354</v>
      </c>
      <c r="L286" t="s">
        <v>354</v>
      </c>
      <c r="M286" t="s">
        <v>90</v>
      </c>
      <c r="N286" s="73">
        <v>0</v>
      </c>
      <c r="O286" t="str">
        <f>IFERROR(VLOOKUP(Basef[[#This Row],[Regional]],Tabela11[],2,0),"Vago")</f>
        <v>Thieude</v>
      </c>
      <c r="P286" t="str">
        <f>Basef[[#This Row],[Regional]]</f>
        <v>MA Norte</v>
      </c>
    </row>
    <row r="287" spans="1:16" x14ac:dyDescent="0.3">
      <c r="A287">
        <v>39</v>
      </c>
      <c r="B287" t="s">
        <v>677</v>
      </c>
      <c r="C287" t="s">
        <v>116</v>
      </c>
      <c r="D287" t="s">
        <v>92</v>
      </c>
      <c r="E287">
        <v>14318.75</v>
      </c>
      <c r="F287">
        <v>14318.75</v>
      </c>
      <c r="G287">
        <v>45000</v>
      </c>
      <c r="H287" t="s">
        <v>690</v>
      </c>
      <c r="I287">
        <v>2026</v>
      </c>
      <c r="J287" t="s">
        <v>597</v>
      </c>
      <c r="K287" t="s">
        <v>597</v>
      </c>
      <c r="L287" t="s">
        <v>597</v>
      </c>
      <c r="M287" t="s">
        <v>90</v>
      </c>
      <c r="N287" s="73">
        <v>0</v>
      </c>
      <c r="O287" t="str">
        <f>IFERROR(VLOOKUP(Basef[[#This Row],[Regional]],Tabela11[],2,0),"Vago")</f>
        <v>Thieude</v>
      </c>
      <c r="P287" t="str">
        <f>Basef[[#This Row],[Regional]]</f>
        <v>MA Norte</v>
      </c>
    </row>
    <row r="288" spans="1:16" x14ac:dyDescent="0.3">
      <c r="A288">
        <v>424</v>
      </c>
      <c r="B288" t="s">
        <v>144</v>
      </c>
      <c r="C288" t="s">
        <v>116</v>
      </c>
      <c r="D288" t="s">
        <v>92</v>
      </c>
      <c r="E288">
        <v>5772.33</v>
      </c>
      <c r="F288">
        <v>5772.33</v>
      </c>
      <c r="G288">
        <v>6000</v>
      </c>
      <c r="H288" t="s">
        <v>690</v>
      </c>
      <c r="I288">
        <v>2026</v>
      </c>
      <c r="J288" t="s">
        <v>354</v>
      </c>
      <c r="K288" t="s">
        <v>354</v>
      </c>
      <c r="L288" t="s">
        <v>354</v>
      </c>
      <c r="M288" t="s">
        <v>90</v>
      </c>
      <c r="N288" s="73">
        <v>0</v>
      </c>
      <c r="O288" t="str">
        <f>IFERROR(VLOOKUP(Basef[[#This Row],[Regional]],Tabela11[],2,0),"Vago")</f>
        <v>Thieude</v>
      </c>
      <c r="P288" t="str">
        <f>Basef[[#This Row],[Regional]]</f>
        <v>MA Norte</v>
      </c>
    </row>
    <row r="289" spans="1:16" x14ac:dyDescent="0.3">
      <c r="A289">
        <v>424</v>
      </c>
      <c r="B289" t="s">
        <v>144</v>
      </c>
      <c r="C289" t="s">
        <v>116</v>
      </c>
      <c r="D289" t="s">
        <v>3</v>
      </c>
      <c r="E289">
        <v>23190.080000000002</v>
      </c>
      <c r="F289">
        <v>23190.080000000002</v>
      </c>
      <c r="G289">
        <v>20000</v>
      </c>
      <c r="H289" t="s">
        <v>690</v>
      </c>
      <c r="I289">
        <v>2026</v>
      </c>
      <c r="J289" t="s">
        <v>354</v>
      </c>
      <c r="K289" t="s">
        <v>354</v>
      </c>
      <c r="L289" t="s">
        <v>354</v>
      </c>
      <c r="M289" t="s">
        <v>90</v>
      </c>
      <c r="N289" s="73">
        <v>0</v>
      </c>
      <c r="O289" t="str">
        <f>IFERROR(VLOOKUP(Basef[[#This Row],[Regional]],Tabela11[],2,0),"Vago")</f>
        <v>Thieude</v>
      </c>
      <c r="P289" t="str">
        <f>Basef[[#This Row],[Regional]]</f>
        <v>MA Norte</v>
      </c>
    </row>
    <row r="290" spans="1:16" x14ac:dyDescent="0.3">
      <c r="A290">
        <v>434</v>
      </c>
      <c r="B290" t="s">
        <v>155</v>
      </c>
      <c r="C290" t="s">
        <v>116</v>
      </c>
      <c r="D290" t="s">
        <v>93</v>
      </c>
      <c r="E290">
        <v>3680.24</v>
      </c>
      <c r="F290">
        <v>3680.24</v>
      </c>
      <c r="G290">
        <v>2500</v>
      </c>
      <c r="H290" t="s">
        <v>690</v>
      </c>
      <c r="I290">
        <v>2026</v>
      </c>
      <c r="J290" t="s">
        <v>64</v>
      </c>
      <c r="K290" t="s">
        <v>64</v>
      </c>
      <c r="L290" t="s">
        <v>64</v>
      </c>
      <c r="M290" t="s">
        <v>90</v>
      </c>
      <c r="N290" s="73">
        <v>0</v>
      </c>
      <c r="O290" t="str">
        <f>IFERROR(VLOOKUP(Basef[[#This Row],[Regional]],Tabela11[],2,0),"Vago")</f>
        <v>Thieude</v>
      </c>
      <c r="P290" t="str">
        <f>Basef[[#This Row],[Regional]]</f>
        <v>MA Norte</v>
      </c>
    </row>
    <row r="291" spans="1:16" x14ac:dyDescent="0.3">
      <c r="A291">
        <v>451</v>
      </c>
      <c r="B291" t="s">
        <v>292</v>
      </c>
      <c r="C291" t="s">
        <v>116</v>
      </c>
      <c r="D291" t="s">
        <v>93</v>
      </c>
      <c r="E291">
        <v>1669.38</v>
      </c>
      <c r="F291">
        <v>1669.38</v>
      </c>
      <c r="G291">
        <v>1000</v>
      </c>
      <c r="H291" t="s">
        <v>690</v>
      </c>
      <c r="I291">
        <v>2026</v>
      </c>
      <c r="J291" t="s">
        <v>354</v>
      </c>
      <c r="K291" t="s">
        <v>354</v>
      </c>
      <c r="L291" t="s">
        <v>354</v>
      </c>
      <c r="M291" t="s">
        <v>90</v>
      </c>
      <c r="N291" s="73">
        <v>0</v>
      </c>
      <c r="O291" t="str">
        <f>IFERROR(VLOOKUP(Basef[[#This Row],[Regional]],Tabela11[],2,0),"Vago")</f>
        <v>Thieude</v>
      </c>
      <c r="P291" t="str">
        <f>Basef[[#This Row],[Regional]]</f>
        <v>MA Norte</v>
      </c>
    </row>
    <row r="292" spans="1:16" x14ac:dyDescent="0.3">
      <c r="A292">
        <v>537</v>
      </c>
      <c r="B292" t="s">
        <v>674</v>
      </c>
      <c r="C292" t="s">
        <v>116</v>
      </c>
      <c r="D292" t="s">
        <v>92</v>
      </c>
      <c r="E292">
        <v>28886.29</v>
      </c>
      <c r="F292">
        <v>28886.29</v>
      </c>
      <c r="G292">
        <v>25000</v>
      </c>
      <c r="H292" t="s">
        <v>690</v>
      </c>
      <c r="I292">
        <v>2026</v>
      </c>
      <c r="J292" t="s">
        <v>64</v>
      </c>
      <c r="K292" t="s">
        <v>64</v>
      </c>
      <c r="L292" t="s">
        <v>64</v>
      </c>
      <c r="M292" t="s">
        <v>90</v>
      </c>
      <c r="N292" s="73">
        <v>0</v>
      </c>
      <c r="O292" t="str">
        <f>IFERROR(VLOOKUP(Basef[[#This Row],[Regional]],Tabela11[],2,0),"Vago")</f>
        <v>Thieude</v>
      </c>
      <c r="P292" t="str">
        <f>Basef[[#This Row],[Regional]]</f>
        <v>MA Norte</v>
      </c>
    </row>
    <row r="293" spans="1:16" x14ac:dyDescent="0.3">
      <c r="A293">
        <v>39</v>
      </c>
      <c r="B293" t="s">
        <v>677</v>
      </c>
      <c r="C293" t="s">
        <v>116</v>
      </c>
      <c r="D293" t="s">
        <v>93</v>
      </c>
      <c r="E293">
        <v>4088.18</v>
      </c>
      <c r="F293">
        <v>4088.18</v>
      </c>
      <c r="G293">
        <v>4500</v>
      </c>
      <c r="H293" t="s">
        <v>690</v>
      </c>
      <c r="I293">
        <v>2026</v>
      </c>
      <c r="J293" t="s">
        <v>597</v>
      </c>
      <c r="K293" t="s">
        <v>597</v>
      </c>
      <c r="L293" t="s">
        <v>597</v>
      </c>
      <c r="M293" t="s">
        <v>90</v>
      </c>
      <c r="N293" s="73">
        <v>0</v>
      </c>
      <c r="O293" t="str">
        <f>IFERROR(VLOOKUP(Basef[[#This Row],[Regional]],Tabela11[],2,0),"Vago")</f>
        <v>Thieude</v>
      </c>
      <c r="P293" t="str">
        <f>Basef[[#This Row],[Regional]]</f>
        <v>MA Norte</v>
      </c>
    </row>
    <row r="294" spans="1:16" x14ac:dyDescent="0.3">
      <c r="A294">
        <v>445</v>
      </c>
      <c r="B294" t="s">
        <v>161</v>
      </c>
      <c r="C294" t="s">
        <v>116</v>
      </c>
      <c r="D294" t="s">
        <v>3</v>
      </c>
      <c r="E294">
        <v>32703.41</v>
      </c>
      <c r="F294">
        <v>32703.41</v>
      </c>
      <c r="G294">
        <v>36000</v>
      </c>
      <c r="H294" t="s">
        <v>690</v>
      </c>
      <c r="I294">
        <v>2026</v>
      </c>
      <c r="J294" t="s">
        <v>354</v>
      </c>
      <c r="K294" t="s">
        <v>354</v>
      </c>
      <c r="L294" t="s">
        <v>354</v>
      </c>
      <c r="M294" t="s">
        <v>90</v>
      </c>
      <c r="N294" s="73">
        <v>0</v>
      </c>
      <c r="O294" t="str">
        <f>IFERROR(VLOOKUP(Basef[[#This Row],[Regional]],Tabela11[],2,0),"Vago")</f>
        <v>Thieude</v>
      </c>
      <c r="P294" t="str">
        <f>Basef[[#This Row],[Regional]]</f>
        <v>MA Norte</v>
      </c>
    </row>
    <row r="295" spans="1:16" x14ac:dyDescent="0.3">
      <c r="A295">
        <v>514</v>
      </c>
      <c r="B295" t="s">
        <v>525</v>
      </c>
      <c r="C295" t="s">
        <v>225</v>
      </c>
      <c r="D295" t="s">
        <v>627</v>
      </c>
      <c r="E295">
        <v>10196.08</v>
      </c>
      <c r="F295">
        <v>10196.08</v>
      </c>
      <c r="G295">
        <v>10000</v>
      </c>
      <c r="H295" t="s">
        <v>690</v>
      </c>
      <c r="I295">
        <v>2026</v>
      </c>
      <c r="J295" t="s">
        <v>695</v>
      </c>
      <c r="K295" t="s">
        <v>696</v>
      </c>
      <c r="L295" t="s">
        <v>90</v>
      </c>
      <c r="M295" t="s">
        <v>90</v>
      </c>
      <c r="N295" s="73">
        <v>0</v>
      </c>
      <c r="O295" t="str">
        <f>IFERROR(VLOOKUP(Basef[[#This Row],[Regional]],Tabela11[],2,0),"Vago")</f>
        <v>Vago</v>
      </c>
      <c r="P295" t="str">
        <f>Basef[[#This Row],[Regional]]</f>
        <v>Ceará</v>
      </c>
    </row>
    <row r="296" spans="1:16" x14ac:dyDescent="0.3">
      <c r="A296">
        <v>527</v>
      </c>
      <c r="B296" t="s">
        <v>697</v>
      </c>
      <c r="C296" t="s">
        <v>225</v>
      </c>
      <c r="D296" t="s">
        <v>627</v>
      </c>
      <c r="E296">
        <v>17343.830000000002</v>
      </c>
      <c r="F296">
        <v>17343.830000000002</v>
      </c>
      <c r="G296">
        <v>14000</v>
      </c>
      <c r="H296" t="s">
        <v>690</v>
      </c>
      <c r="I296">
        <v>2026</v>
      </c>
      <c r="J296" t="s">
        <v>698</v>
      </c>
      <c r="K296" t="s">
        <v>696</v>
      </c>
      <c r="L296" t="s">
        <v>90</v>
      </c>
      <c r="M296" t="s">
        <v>90</v>
      </c>
      <c r="N296" s="73">
        <v>0</v>
      </c>
      <c r="O296" t="str">
        <f>IFERROR(VLOOKUP(Basef[[#This Row],[Regional]],Tabela11[],2,0),"Vago")</f>
        <v>Vago</v>
      </c>
      <c r="P296" t="str">
        <f>Basef[[#This Row],[Regional]]</f>
        <v>Ceará</v>
      </c>
    </row>
    <row r="297" spans="1:16" x14ac:dyDescent="0.3">
      <c r="A297">
        <v>280</v>
      </c>
      <c r="B297" t="s">
        <v>700</v>
      </c>
      <c r="C297" t="s">
        <v>225</v>
      </c>
      <c r="D297" t="s">
        <v>627</v>
      </c>
      <c r="E297">
        <v>9506.7199999999993</v>
      </c>
      <c r="F297">
        <v>9506.7199999999993</v>
      </c>
      <c r="G297">
        <v>14000</v>
      </c>
      <c r="H297" t="s">
        <v>690</v>
      </c>
      <c r="I297">
        <v>2026</v>
      </c>
      <c r="J297" t="s">
        <v>624</v>
      </c>
      <c r="K297" t="s">
        <v>90</v>
      </c>
      <c r="L297" t="s">
        <v>90</v>
      </c>
      <c r="M297" t="s">
        <v>90</v>
      </c>
      <c r="N297" s="73">
        <v>0</v>
      </c>
      <c r="O297" t="str">
        <f>IFERROR(VLOOKUP(Basef[[#This Row],[Regional]],Tabela11[],2,0),"Vago")</f>
        <v>Vago</v>
      </c>
      <c r="P297" t="str">
        <f>Basef[[#This Row],[Regional]]</f>
        <v>Ceará</v>
      </c>
    </row>
    <row r="298" spans="1:16" x14ac:dyDescent="0.3">
      <c r="A298">
        <v>290</v>
      </c>
      <c r="B298" t="s">
        <v>490</v>
      </c>
      <c r="C298" t="s">
        <v>225</v>
      </c>
      <c r="D298" t="s">
        <v>3</v>
      </c>
      <c r="E298">
        <v>20280.88</v>
      </c>
      <c r="F298">
        <v>20280.88</v>
      </c>
      <c r="G298">
        <v>50000</v>
      </c>
      <c r="H298" t="s">
        <v>690</v>
      </c>
      <c r="I298">
        <v>2026</v>
      </c>
      <c r="J298" t="s">
        <v>701</v>
      </c>
      <c r="K298" t="s">
        <v>90</v>
      </c>
      <c r="L298" t="s">
        <v>90</v>
      </c>
      <c r="M298" t="s">
        <v>90</v>
      </c>
      <c r="N298" s="73">
        <v>350.7</v>
      </c>
      <c r="O298" t="str">
        <f>IFERROR(VLOOKUP(Basef[[#This Row],[Regional]],Tabela11[],2,0),"Vago")</f>
        <v>Vago</v>
      </c>
      <c r="P298" t="str">
        <f>Basef[[#This Row],[Regional]]</f>
        <v>Ceará</v>
      </c>
    </row>
    <row r="299" spans="1:16" x14ac:dyDescent="0.3">
      <c r="A299">
        <v>506</v>
      </c>
      <c r="B299" t="s">
        <v>523</v>
      </c>
      <c r="C299" t="s">
        <v>225</v>
      </c>
      <c r="D299" t="s">
        <v>3</v>
      </c>
      <c r="E299">
        <v>67427.820000000007</v>
      </c>
      <c r="F299">
        <v>67427.820000000007</v>
      </c>
      <c r="G299">
        <v>50000</v>
      </c>
      <c r="H299" t="s">
        <v>690</v>
      </c>
      <c r="I299">
        <v>2026</v>
      </c>
      <c r="J299" t="s">
        <v>696</v>
      </c>
      <c r="K299" t="s">
        <v>696</v>
      </c>
      <c r="L299" t="s">
        <v>90</v>
      </c>
      <c r="M299" t="s">
        <v>90</v>
      </c>
      <c r="N299" s="73">
        <v>475.12</v>
      </c>
      <c r="O299" t="str">
        <f>IFERROR(VLOOKUP(Basef[[#This Row],[Regional]],Tabela11[],2,0),"Vago")</f>
        <v>Vago</v>
      </c>
      <c r="P299" t="str">
        <f>Basef[[#This Row],[Regional]]</f>
        <v>Ceará</v>
      </c>
    </row>
    <row r="300" spans="1:16" x14ac:dyDescent="0.3">
      <c r="A300">
        <v>516</v>
      </c>
      <c r="B300" t="s">
        <v>703</v>
      </c>
      <c r="C300" t="s">
        <v>225</v>
      </c>
      <c r="D300" t="s">
        <v>627</v>
      </c>
      <c r="E300">
        <v>3948.17</v>
      </c>
      <c r="F300">
        <v>3948.17</v>
      </c>
      <c r="G300">
        <v>10000</v>
      </c>
      <c r="H300" t="s">
        <v>690</v>
      </c>
      <c r="I300">
        <v>2026</v>
      </c>
      <c r="J300" t="s">
        <v>704</v>
      </c>
      <c r="K300" t="s">
        <v>90</v>
      </c>
      <c r="L300" t="s">
        <v>90</v>
      </c>
      <c r="M300" t="s">
        <v>90</v>
      </c>
      <c r="N300" s="73">
        <v>0</v>
      </c>
      <c r="O300" t="str">
        <f>IFERROR(VLOOKUP(Basef[[#This Row],[Regional]],Tabela11[],2,0),"Vago")</f>
        <v>Vago</v>
      </c>
      <c r="P300" t="str">
        <f>Basef[[#This Row],[Regional]]</f>
        <v>Ceará</v>
      </c>
    </row>
    <row r="301" spans="1:16" x14ac:dyDescent="0.3">
      <c r="A301">
        <v>527</v>
      </c>
      <c r="B301" t="s">
        <v>697</v>
      </c>
      <c r="C301" t="s">
        <v>225</v>
      </c>
      <c r="D301" t="s">
        <v>3</v>
      </c>
      <c r="E301">
        <v>71222.320000000007</v>
      </c>
      <c r="F301">
        <v>71222.320000000007</v>
      </c>
      <c r="G301">
        <v>126000</v>
      </c>
      <c r="H301" t="s">
        <v>690</v>
      </c>
      <c r="I301">
        <v>2026</v>
      </c>
      <c r="J301" t="s">
        <v>698</v>
      </c>
      <c r="K301" t="s">
        <v>696</v>
      </c>
      <c r="L301" t="s">
        <v>90</v>
      </c>
      <c r="M301" t="s">
        <v>90</v>
      </c>
      <c r="N301" s="73">
        <v>2141.5</v>
      </c>
      <c r="O301" t="str">
        <f>IFERROR(VLOOKUP(Basef[[#This Row],[Regional]],Tabela11[],2,0),"Vago")</f>
        <v>Vago</v>
      </c>
      <c r="P301" t="str">
        <f>Basef[[#This Row],[Regional]]</f>
        <v>Ceará</v>
      </c>
    </row>
    <row r="302" spans="1:16" x14ac:dyDescent="0.3">
      <c r="A302">
        <v>266</v>
      </c>
      <c r="B302" t="s">
        <v>707</v>
      </c>
      <c r="C302" t="s">
        <v>225</v>
      </c>
      <c r="D302" t="s">
        <v>3</v>
      </c>
      <c r="E302">
        <v>57889.39</v>
      </c>
      <c r="F302">
        <v>57889.39</v>
      </c>
      <c r="G302">
        <v>50000</v>
      </c>
      <c r="H302" t="s">
        <v>690</v>
      </c>
      <c r="I302">
        <v>2026</v>
      </c>
      <c r="J302" t="s">
        <v>708</v>
      </c>
      <c r="K302" t="s">
        <v>709</v>
      </c>
      <c r="L302" t="s">
        <v>90</v>
      </c>
      <c r="M302" t="s">
        <v>90</v>
      </c>
      <c r="N302" s="73">
        <v>2319.1</v>
      </c>
      <c r="O302" t="str">
        <f>IFERROR(VLOOKUP(Basef[[#This Row],[Regional]],Tabela11[],2,0),"Vago")</f>
        <v>Vago</v>
      </c>
      <c r="P302" t="str">
        <f>Basef[[#This Row],[Regional]]</f>
        <v>Ceará</v>
      </c>
    </row>
    <row r="303" spans="1:16" x14ac:dyDescent="0.3">
      <c r="A303">
        <v>534</v>
      </c>
      <c r="B303" t="s">
        <v>710</v>
      </c>
      <c r="C303" t="s">
        <v>225</v>
      </c>
      <c r="D303" t="s">
        <v>627</v>
      </c>
      <c r="E303">
        <v>9224</v>
      </c>
      <c r="F303">
        <v>9224</v>
      </c>
      <c r="G303">
        <v>11000</v>
      </c>
      <c r="H303" t="s">
        <v>690</v>
      </c>
      <c r="I303">
        <v>2026</v>
      </c>
      <c r="J303" t="s">
        <v>696</v>
      </c>
      <c r="K303" t="s">
        <v>696</v>
      </c>
      <c r="L303" t="s">
        <v>90</v>
      </c>
      <c r="M303" t="s">
        <v>90</v>
      </c>
      <c r="N303" s="73">
        <v>0</v>
      </c>
      <c r="O303" t="str">
        <f>IFERROR(VLOOKUP(Basef[[#This Row],[Regional]],Tabela11[],2,0),"Vago")</f>
        <v>Vago</v>
      </c>
      <c r="P303" t="str">
        <f>Basef[[#This Row],[Regional]]</f>
        <v>Ceará</v>
      </c>
    </row>
    <row r="304" spans="1:16" x14ac:dyDescent="0.3">
      <c r="A304">
        <v>290</v>
      </c>
      <c r="B304" t="s">
        <v>490</v>
      </c>
      <c r="C304" t="s">
        <v>225</v>
      </c>
      <c r="D304" t="s">
        <v>627</v>
      </c>
      <c r="E304">
        <v>1495.86</v>
      </c>
      <c r="F304">
        <v>1495.86</v>
      </c>
      <c r="G304">
        <v>10000</v>
      </c>
      <c r="H304" t="s">
        <v>690</v>
      </c>
      <c r="I304">
        <v>2026</v>
      </c>
      <c r="J304" t="s">
        <v>701</v>
      </c>
      <c r="K304" t="s">
        <v>90</v>
      </c>
      <c r="L304" t="s">
        <v>90</v>
      </c>
      <c r="M304" t="s">
        <v>90</v>
      </c>
      <c r="N304" s="73">
        <v>0</v>
      </c>
      <c r="O304" t="str">
        <f>IFERROR(VLOOKUP(Basef[[#This Row],[Regional]],Tabela11[],2,0),"Vago")</f>
        <v>Vago</v>
      </c>
      <c r="P304" t="str">
        <f>Basef[[#This Row],[Regional]]</f>
        <v>Ceará</v>
      </c>
    </row>
    <row r="305" spans="1:16" x14ac:dyDescent="0.3">
      <c r="A305">
        <v>264</v>
      </c>
      <c r="B305" t="s">
        <v>712</v>
      </c>
      <c r="C305" t="s">
        <v>225</v>
      </c>
      <c r="D305" t="s">
        <v>627</v>
      </c>
      <c r="E305">
        <v>4414.05</v>
      </c>
      <c r="F305">
        <v>4414.05</v>
      </c>
      <c r="G305">
        <v>10000</v>
      </c>
      <c r="H305" t="s">
        <v>690</v>
      </c>
      <c r="I305">
        <v>2026</v>
      </c>
      <c r="J305" t="s">
        <v>696</v>
      </c>
      <c r="K305" t="s">
        <v>90</v>
      </c>
      <c r="L305" t="s">
        <v>90</v>
      </c>
      <c r="M305" t="s">
        <v>90</v>
      </c>
      <c r="N305" s="73">
        <v>0</v>
      </c>
      <c r="O305" t="str">
        <f>IFERROR(VLOOKUP(Basef[[#This Row],[Regional]],Tabela11[],2,0),"Vago")</f>
        <v>Vago</v>
      </c>
      <c r="P305" t="str">
        <f>Basef[[#This Row],[Regional]]</f>
        <v>Ceará</v>
      </c>
    </row>
    <row r="306" spans="1:16" x14ac:dyDescent="0.3">
      <c r="A306">
        <v>520</v>
      </c>
      <c r="B306" t="s">
        <v>714</v>
      </c>
      <c r="C306" t="s">
        <v>225</v>
      </c>
      <c r="D306" t="s">
        <v>627</v>
      </c>
      <c r="E306">
        <v>11626.25</v>
      </c>
      <c r="F306">
        <v>11626.25</v>
      </c>
      <c r="G306">
        <v>10000</v>
      </c>
      <c r="H306" t="s">
        <v>690</v>
      </c>
      <c r="I306">
        <v>2026</v>
      </c>
      <c r="J306" t="s">
        <v>715</v>
      </c>
      <c r="K306" t="s">
        <v>90</v>
      </c>
      <c r="L306" t="s">
        <v>90</v>
      </c>
      <c r="M306" t="s">
        <v>90</v>
      </c>
      <c r="N306" s="73">
        <v>0</v>
      </c>
      <c r="O306" t="str">
        <f>IFERROR(VLOOKUP(Basef[[#This Row],[Regional]],Tabela11[],2,0),"Vago")</f>
        <v>Vago</v>
      </c>
      <c r="P306" t="str">
        <f>Basef[[#This Row],[Regional]]</f>
        <v>Ceará</v>
      </c>
    </row>
    <row r="307" spans="1:16" x14ac:dyDescent="0.3">
      <c r="A307">
        <v>280</v>
      </c>
      <c r="B307" t="s">
        <v>700</v>
      </c>
      <c r="C307" t="s">
        <v>225</v>
      </c>
      <c r="D307" t="s">
        <v>3</v>
      </c>
      <c r="E307">
        <v>30609.200000000001</v>
      </c>
      <c r="F307">
        <v>30609.200000000001</v>
      </c>
      <c r="G307">
        <v>50000</v>
      </c>
      <c r="H307" t="s">
        <v>690</v>
      </c>
      <c r="I307">
        <v>2026</v>
      </c>
      <c r="J307" t="s">
        <v>624</v>
      </c>
      <c r="K307" t="s">
        <v>90</v>
      </c>
      <c r="L307" t="s">
        <v>90</v>
      </c>
      <c r="M307" t="s">
        <v>90</v>
      </c>
      <c r="N307" s="73">
        <v>1916.97</v>
      </c>
      <c r="O307" t="str">
        <f>IFERROR(VLOOKUP(Basef[[#This Row],[Regional]],Tabela11[],2,0),"Vago")</f>
        <v>Vago</v>
      </c>
      <c r="P307" t="str">
        <f>Basef[[#This Row],[Regional]]</f>
        <v>Ceará</v>
      </c>
    </row>
    <row r="308" spans="1:16" x14ac:dyDescent="0.3">
      <c r="A308">
        <v>266</v>
      </c>
      <c r="B308" t="s">
        <v>707</v>
      </c>
      <c r="C308" t="s">
        <v>225</v>
      </c>
      <c r="D308" t="s">
        <v>627</v>
      </c>
      <c r="E308">
        <v>12759.85</v>
      </c>
      <c r="F308">
        <v>12759.85</v>
      </c>
      <c r="G308">
        <v>11000</v>
      </c>
      <c r="H308" t="s">
        <v>690</v>
      </c>
      <c r="I308">
        <v>2026</v>
      </c>
      <c r="J308" t="s">
        <v>708</v>
      </c>
      <c r="K308" t="s">
        <v>709</v>
      </c>
      <c r="L308" t="s">
        <v>90</v>
      </c>
      <c r="M308" t="s">
        <v>90</v>
      </c>
      <c r="N308" s="73">
        <v>0</v>
      </c>
      <c r="O308" t="str">
        <f>IFERROR(VLOOKUP(Basef[[#This Row],[Regional]],Tabela11[],2,0),"Vago")</f>
        <v>Vago</v>
      </c>
      <c r="P308" t="str">
        <f>Basef[[#This Row],[Regional]]</f>
        <v>Ceará</v>
      </c>
    </row>
    <row r="309" spans="1:16" x14ac:dyDescent="0.3">
      <c r="A309">
        <v>507</v>
      </c>
      <c r="B309" t="s">
        <v>716</v>
      </c>
      <c r="C309" t="s">
        <v>225</v>
      </c>
      <c r="D309" t="s">
        <v>3</v>
      </c>
      <c r="E309">
        <v>32120.880000000001</v>
      </c>
      <c r="F309">
        <v>32120.880000000001</v>
      </c>
      <c r="G309">
        <v>53500</v>
      </c>
      <c r="H309" t="s">
        <v>690</v>
      </c>
      <c r="I309">
        <v>2026</v>
      </c>
      <c r="J309" t="s">
        <v>532</v>
      </c>
      <c r="K309" t="s">
        <v>90</v>
      </c>
      <c r="L309" t="s">
        <v>90</v>
      </c>
      <c r="M309" t="s">
        <v>90</v>
      </c>
      <c r="N309" s="73">
        <v>530.37</v>
      </c>
      <c r="O309" t="str">
        <f>IFERROR(VLOOKUP(Basef[[#This Row],[Regional]],Tabela11[],2,0),"Vago")</f>
        <v>Vago</v>
      </c>
      <c r="P309" t="str">
        <f>Basef[[#This Row],[Regional]]</f>
        <v>Ceará</v>
      </c>
    </row>
    <row r="310" spans="1:16" x14ac:dyDescent="0.3">
      <c r="A310">
        <v>507</v>
      </c>
      <c r="B310" t="s">
        <v>716</v>
      </c>
      <c r="C310" t="s">
        <v>225</v>
      </c>
      <c r="D310" t="s">
        <v>627</v>
      </c>
      <c r="E310">
        <v>20358.22</v>
      </c>
      <c r="F310">
        <v>20358.22</v>
      </c>
      <c r="G310">
        <v>16000</v>
      </c>
      <c r="H310" t="s">
        <v>690</v>
      </c>
      <c r="I310">
        <v>2026</v>
      </c>
      <c r="J310" t="s">
        <v>532</v>
      </c>
      <c r="K310" t="s">
        <v>90</v>
      </c>
      <c r="L310" t="s">
        <v>90</v>
      </c>
      <c r="M310" t="s">
        <v>90</v>
      </c>
      <c r="N310" s="73">
        <v>0</v>
      </c>
      <c r="O310" t="str">
        <f>IFERROR(VLOOKUP(Basef[[#This Row],[Regional]],Tabela11[],2,0),"Vago")</f>
        <v>Vago</v>
      </c>
      <c r="P310" t="str">
        <f>Basef[[#This Row],[Regional]]</f>
        <v>Ceará</v>
      </c>
    </row>
    <row r="311" spans="1:16" x14ac:dyDescent="0.3">
      <c r="A311">
        <v>503</v>
      </c>
      <c r="B311" t="s">
        <v>488</v>
      </c>
      <c r="C311" t="s">
        <v>225</v>
      </c>
      <c r="D311" t="s">
        <v>627</v>
      </c>
      <c r="E311">
        <v>8486.81</v>
      </c>
      <c r="F311">
        <v>8486.81</v>
      </c>
      <c r="G311">
        <v>10000</v>
      </c>
      <c r="H311" t="s">
        <v>690</v>
      </c>
      <c r="I311">
        <v>2026</v>
      </c>
      <c r="J311" t="s">
        <v>717</v>
      </c>
      <c r="K311" t="s">
        <v>696</v>
      </c>
      <c r="L311" t="s">
        <v>90</v>
      </c>
      <c r="M311" t="s">
        <v>90</v>
      </c>
      <c r="N311" s="73">
        <v>0</v>
      </c>
      <c r="O311" t="str">
        <f>IFERROR(VLOOKUP(Basef[[#This Row],[Regional]],Tabela11[],2,0),"Vago")</f>
        <v>Vago</v>
      </c>
      <c r="P311" t="str">
        <f>Basef[[#This Row],[Regional]]</f>
        <v>Ceará</v>
      </c>
    </row>
    <row r="312" spans="1:16" x14ac:dyDescent="0.3">
      <c r="A312">
        <v>541</v>
      </c>
      <c r="B312" t="s">
        <v>718</v>
      </c>
      <c r="C312" t="s">
        <v>225</v>
      </c>
      <c r="D312" t="s">
        <v>3</v>
      </c>
      <c r="E312">
        <v>46250.400000000001</v>
      </c>
      <c r="F312">
        <v>46250.400000000001</v>
      </c>
      <c r="G312">
        <v>50000</v>
      </c>
      <c r="H312" t="s">
        <v>690</v>
      </c>
      <c r="I312">
        <v>2026</v>
      </c>
      <c r="J312" t="s">
        <v>719</v>
      </c>
      <c r="K312" t="s">
        <v>90</v>
      </c>
      <c r="L312" t="s">
        <v>90</v>
      </c>
      <c r="M312" t="s">
        <v>90</v>
      </c>
      <c r="N312" s="73">
        <v>0</v>
      </c>
      <c r="O312" t="str">
        <f>IFERROR(VLOOKUP(Basef[[#This Row],[Regional]],Tabela11[],2,0),"Vago")</f>
        <v>Vago</v>
      </c>
      <c r="P312" t="str">
        <f>Basef[[#This Row],[Regional]]</f>
        <v>Ceará</v>
      </c>
    </row>
    <row r="313" spans="1:16" x14ac:dyDescent="0.3">
      <c r="A313">
        <v>285</v>
      </c>
      <c r="B313" t="s">
        <v>487</v>
      </c>
      <c r="C313" t="s">
        <v>225</v>
      </c>
      <c r="D313" t="s">
        <v>627</v>
      </c>
      <c r="E313">
        <v>5609.37</v>
      </c>
      <c r="F313">
        <v>5609.37</v>
      </c>
      <c r="G313">
        <v>10000</v>
      </c>
      <c r="H313" t="s">
        <v>690</v>
      </c>
      <c r="I313">
        <v>2026</v>
      </c>
      <c r="J313" t="s">
        <v>720</v>
      </c>
      <c r="K313" t="s">
        <v>90</v>
      </c>
      <c r="L313" t="s">
        <v>90</v>
      </c>
      <c r="M313" t="s">
        <v>90</v>
      </c>
      <c r="N313" s="73">
        <v>0</v>
      </c>
      <c r="O313" t="str">
        <f>IFERROR(VLOOKUP(Basef[[#This Row],[Regional]],Tabela11[],2,0),"Vago")</f>
        <v>Vago</v>
      </c>
      <c r="P313" t="str">
        <f>Basef[[#This Row],[Regional]]</f>
        <v>Ceará</v>
      </c>
    </row>
    <row r="314" spans="1:16" x14ac:dyDescent="0.3">
      <c r="A314">
        <v>516</v>
      </c>
      <c r="B314" t="s">
        <v>703</v>
      </c>
      <c r="C314" t="s">
        <v>225</v>
      </c>
      <c r="D314" t="s">
        <v>3</v>
      </c>
      <c r="E314">
        <v>20566.62</v>
      </c>
      <c r="F314">
        <v>20566.62</v>
      </c>
      <c r="G314">
        <v>50000</v>
      </c>
      <c r="H314" t="s">
        <v>690</v>
      </c>
      <c r="I314">
        <v>2026</v>
      </c>
      <c r="J314" t="s">
        <v>704</v>
      </c>
      <c r="K314" t="s">
        <v>90</v>
      </c>
      <c r="L314" t="s">
        <v>90</v>
      </c>
      <c r="M314" t="s">
        <v>90</v>
      </c>
      <c r="N314" s="73">
        <v>174</v>
      </c>
      <c r="O314" t="str">
        <f>IFERROR(VLOOKUP(Basef[[#This Row],[Regional]],Tabela11[],2,0),"Vago")</f>
        <v>Vago</v>
      </c>
      <c r="P314" t="str">
        <f>Basef[[#This Row],[Regional]]</f>
        <v>Ceará</v>
      </c>
    </row>
    <row r="315" spans="1:16" x14ac:dyDescent="0.3">
      <c r="A315">
        <v>534</v>
      </c>
      <c r="B315" t="s">
        <v>710</v>
      </c>
      <c r="C315" t="s">
        <v>225</v>
      </c>
      <c r="D315" t="s">
        <v>3</v>
      </c>
      <c r="E315">
        <v>38657.769999999997</v>
      </c>
      <c r="F315">
        <v>38657.769999999997</v>
      </c>
      <c r="G315">
        <v>35000</v>
      </c>
      <c r="H315" t="s">
        <v>690</v>
      </c>
      <c r="I315">
        <v>2026</v>
      </c>
      <c r="J315" t="s">
        <v>696</v>
      </c>
      <c r="K315" t="s">
        <v>696</v>
      </c>
      <c r="L315" t="s">
        <v>90</v>
      </c>
      <c r="M315" t="s">
        <v>90</v>
      </c>
      <c r="N315" s="73">
        <v>869.33999999999992</v>
      </c>
      <c r="O315" t="str">
        <f>IFERROR(VLOOKUP(Basef[[#This Row],[Regional]],Tabela11[],2,0),"Vago")</f>
        <v>Vago</v>
      </c>
      <c r="P315" t="str">
        <f>Basef[[#This Row],[Regional]]</f>
        <v>Ceará</v>
      </c>
    </row>
    <row r="316" spans="1:16" x14ac:dyDescent="0.3">
      <c r="A316">
        <v>518</v>
      </c>
      <c r="B316" t="s">
        <v>722</v>
      </c>
      <c r="C316" t="s">
        <v>225</v>
      </c>
      <c r="D316" t="s">
        <v>627</v>
      </c>
      <c r="E316">
        <v>5109.12</v>
      </c>
      <c r="F316">
        <v>5109.12</v>
      </c>
      <c r="G316">
        <v>10000</v>
      </c>
      <c r="H316" t="s">
        <v>690</v>
      </c>
      <c r="I316">
        <v>2026</v>
      </c>
      <c r="J316" t="s">
        <v>723</v>
      </c>
      <c r="K316" t="s">
        <v>90</v>
      </c>
      <c r="L316" t="s">
        <v>90</v>
      </c>
      <c r="M316" t="s">
        <v>90</v>
      </c>
      <c r="N316" s="73">
        <v>0</v>
      </c>
      <c r="O316" t="str">
        <f>IFERROR(VLOOKUP(Basef[[#This Row],[Regional]],Tabela11[],2,0),"Vago")</f>
        <v>Vago</v>
      </c>
      <c r="P316" t="str">
        <f>Basef[[#This Row],[Regional]]</f>
        <v>Ceará</v>
      </c>
    </row>
    <row r="317" spans="1:16" x14ac:dyDescent="0.3">
      <c r="A317">
        <v>264</v>
      </c>
      <c r="B317" t="s">
        <v>712</v>
      </c>
      <c r="C317" t="s">
        <v>225</v>
      </c>
      <c r="D317" t="s">
        <v>3</v>
      </c>
      <c r="E317">
        <v>24831.23</v>
      </c>
      <c r="F317">
        <v>24831.23</v>
      </c>
      <c r="G317">
        <v>50000</v>
      </c>
      <c r="H317" t="s">
        <v>690</v>
      </c>
      <c r="I317">
        <v>2026</v>
      </c>
      <c r="J317" t="s">
        <v>696</v>
      </c>
      <c r="K317" t="s">
        <v>90</v>
      </c>
      <c r="L317" t="s">
        <v>90</v>
      </c>
      <c r="M317" t="s">
        <v>90</v>
      </c>
      <c r="N317" s="73">
        <v>144.07</v>
      </c>
      <c r="O317" t="str">
        <f>IFERROR(VLOOKUP(Basef[[#This Row],[Regional]],Tabela11[],2,0),"Vago")</f>
        <v>Vago</v>
      </c>
      <c r="P317" t="str">
        <f>Basef[[#This Row],[Regional]]</f>
        <v>Ceará</v>
      </c>
    </row>
    <row r="318" spans="1:16" x14ac:dyDescent="0.3">
      <c r="A318">
        <v>506</v>
      </c>
      <c r="B318" t="s">
        <v>523</v>
      </c>
      <c r="C318" t="s">
        <v>225</v>
      </c>
      <c r="D318" t="s">
        <v>627</v>
      </c>
      <c r="E318">
        <v>9241.9699999999993</v>
      </c>
      <c r="F318">
        <v>9241.9699999999993</v>
      </c>
      <c r="G318">
        <v>10000</v>
      </c>
      <c r="H318" t="s">
        <v>690</v>
      </c>
      <c r="I318">
        <v>2026</v>
      </c>
      <c r="J318" t="s">
        <v>696</v>
      </c>
      <c r="K318" t="s">
        <v>696</v>
      </c>
      <c r="L318" t="s">
        <v>90</v>
      </c>
      <c r="M318" t="s">
        <v>90</v>
      </c>
      <c r="N318" s="73">
        <v>0</v>
      </c>
      <c r="O318" t="str">
        <f>IFERROR(VLOOKUP(Basef[[#This Row],[Regional]],Tabela11[],2,0),"Vago")</f>
        <v>Vago</v>
      </c>
      <c r="P318" t="str">
        <f>Basef[[#This Row],[Regional]]</f>
        <v>Ceará</v>
      </c>
    </row>
    <row r="319" spans="1:16" x14ac:dyDescent="0.3">
      <c r="A319">
        <v>285</v>
      </c>
      <c r="B319" t="s">
        <v>487</v>
      </c>
      <c r="C319" t="s">
        <v>225</v>
      </c>
      <c r="D319" t="s">
        <v>3</v>
      </c>
      <c r="E319">
        <v>46769.57</v>
      </c>
      <c r="F319">
        <v>46769.57</v>
      </c>
      <c r="G319">
        <v>50000</v>
      </c>
      <c r="H319" t="s">
        <v>690</v>
      </c>
      <c r="I319">
        <v>2026</v>
      </c>
      <c r="J319" t="s">
        <v>720</v>
      </c>
      <c r="K319" t="s">
        <v>90</v>
      </c>
      <c r="L319" t="s">
        <v>90</v>
      </c>
      <c r="M319" t="s">
        <v>90</v>
      </c>
      <c r="N319" s="73">
        <v>0</v>
      </c>
      <c r="O319" t="str">
        <f>IFERROR(VLOOKUP(Basef[[#This Row],[Regional]],Tabela11[],2,0),"Vago")</f>
        <v>Vago</v>
      </c>
      <c r="P319" t="str">
        <f>Basef[[#This Row],[Regional]]</f>
        <v>Ceará</v>
      </c>
    </row>
    <row r="320" spans="1:16" x14ac:dyDescent="0.3">
      <c r="A320">
        <v>518</v>
      </c>
      <c r="B320" t="s">
        <v>722</v>
      </c>
      <c r="C320" t="s">
        <v>225</v>
      </c>
      <c r="D320" t="s">
        <v>3</v>
      </c>
      <c r="E320">
        <v>22537.41</v>
      </c>
      <c r="F320">
        <v>22537.41</v>
      </c>
      <c r="G320">
        <v>50000</v>
      </c>
      <c r="H320" t="s">
        <v>690</v>
      </c>
      <c r="I320">
        <v>2026</v>
      </c>
      <c r="J320" t="s">
        <v>723</v>
      </c>
      <c r="K320" t="s">
        <v>90</v>
      </c>
      <c r="L320" t="s">
        <v>90</v>
      </c>
      <c r="M320" t="s">
        <v>90</v>
      </c>
      <c r="N320" s="73">
        <v>1900.56</v>
      </c>
      <c r="O320" t="str">
        <f>IFERROR(VLOOKUP(Basef[[#This Row],[Regional]],Tabela11[],2,0),"Vago")</f>
        <v>Vago</v>
      </c>
      <c r="P320" t="str">
        <f>Basef[[#This Row],[Regional]]</f>
        <v>Ceará</v>
      </c>
    </row>
    <row r="321" spans="1:16" x14ac:dyDescent="0.3">
      <c r="A321">
        <v>514</v>
      </c>
      <c r="B321" t="s">
        <v>525</v>
      </c>
      <c r="C321" t="s">
        <v>225</v>
      </c>
      <c r="D321" t="s">
        <v>3</v>
      </c>
      <c r="E321">
        <v>41864.78</v>
      </c>
      <c r="F321">
        <v>41864.78</v>
      </c>
      <c r="G321">
        <v>50000</v>
      </c>
      <c r="H321" t="s">
        <v>690</v>
      </c>
      <c r="I321">
        <v>2026</v>
      </c>
      <c r="J321" t="s">
        <v>695</v>
      </c>
      <c r="K321" t="s">
        <v>696</v>
      </c>
      <c r="L321" t="s">
        <v>90</v>
      </c>
      <c r="M321" t="s">
        <v>90</v>
      </c>
      <c r="N321" s="73">
        <v>352.7</v>
      </c>
      <c r="O321" t="str">
        <f>IFERROR(VLOOKUP(Basef[[#This Row],[Regional]],Tabela11[],2,0),"Vago")</f>
        <v>Vago</v>
      </c>
      <c r="P321" t="str">
        <f>Basef[[#This Row],[Regional]]</f>
        <v>Ceará</v>
      </c>
    </row>
    <row r="322" spans="1:16" x14ac:dyDescent="0.3">
      <c r="A322">
        <v>520</v>
      </c>
      <c r="B322" t="s">
        <v>714</v>
      </c>
      <c r="C322" t="s">
        <v>225</v>
      </c>
      <c r="D322" t="s">
        <v>3</v>
      </c>
      <c r="E322">
        <v>24967.62</v>
      </c>
      <c r="F322">
        <v>24967.62</v>
      </c>
      <c r="G322">
        <v>50000</v>
      </c>
      <c r="H322" t="s">
        <v>690</v>
      </c>
      <c r="I322">
        <v>2026</v>
      </c>
      <c r="J322" t="s">
        <v>715</v>
      </c>
      <c r="K322" t="s">
        <v>90</v>
      </c>
      <c r="L322" t="s">
        <v>90</v>
      </c>
      <c r="M322" t="s">
        <v>90</v>
      </c>
      <c r="N322" s="73">
        <v>6160.03</v>
      </c>
      <c r="O322" t="str">
        <f>IFERROR(VLOOKUP(Basef[[#This Row],[Regional]],Tabela11[],2,0),"Vago")</f>
        <v>Vago</v>
      </c>
      <c r="P322" t="str">
        <f>Basef[[#This Row],[Regional]]</f>
        <v>Ceará</v>
      </c>
    </row>
    <row r="323" spans="1:16" x14ac:dyDescent="0.3">
      <c r="A323">
        <v>503</v>
      </c>
      <c r="B323" t="s">
        <v>488</v>
      </c>
      <c r="C323" t="s">
        <v>225</v>
      </c>
      <c r="D323" t="s">
        <v>3</v>
      </c>
      <c r="E323">
        <v>32963.089999999997</v>
      </c>
      <c r="F323">
        <v>32963.089999999997</v>
      </c>
      <c r="G323">
        <v>50000</v>
      </c>
      <c r="H323" t="s">
        <v>690</v>
      </c>
      <c r="I323">
        <v>2026</v>
      </c>
      <c r="J323" t="s">
        <v>717</v>
      </c>
      <c r="K323" t="s">
        <v>696</v>
      </c>
      <c r="L323" t="s">
        <v>90</v>
      </c>
      <c r="M323" t="s">
        <v>90</v>
      </c>
      <c r="N323" s="73">
        <v>1129.42</v>
      </c>
      <c r="O323" t="str">
        <f>IFERROR(VLOOKUP(Basef[[#This Row],[Regional]],Tabela11[],2,0),"Vago")</f>
        <v>Vago</v>
      </c>
      <c r="P323" t="str">
        <f>Basef[[#This Row],[Regional]]</f>
        <v>Ceará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0131-52F2-4906-91F1-E8F86672E1C2}">
  <dimension ref="A1:AP39"/>
  <sheetViews>
    <sheetView showGridLines="0" workbookViewId="0">
      <selection activeCell="C11" sqref="C11"/>
    </sheetView>
  </sheetViews>
  <sheetFormatPr defaultColWidth="9.109375" defaultRowHeight="14.4" x14ac:dyDescent="0.3"/>
  <cols>
    <col min="1" max="1" width="17.33203125" style="1" bestFit="1" customWidth="1"/>
    <col min="2" max="2" width="14.33203125" style="1" hidden="1" customWidth="1"/>
    <col min="3" max="3" width="10.5546875" style="1" customWidth="1"/>
    <col min="4" max="4" width="11" style="1" hidden="1" customWidth="1"/>
    <col min="5" max="5" width="12.109375" style="1" hidden="1" customWidth="1"/>
    <col min="6" max="6" width="12.6640625" style="1" hidden="1" customWidth="1"/>
    <col min="7" max="7" width="13.44140625" style="1" hidden="1" customWidth="1"/>
    <col min="8" max="8" width="11.88671875" style="1" hidden="1" customWidth="1"/>
    <col min="9" max="9" width="12.5546875" style="1" hidden="1" customWidth="1"/>
    <col min="10" max="10" width="11.88671875" style="1" hidden="1" customWidth="1"/>
    <col min="11" max="11" width="12.5546875" style="1" hidden="1" customWidth="1"/>
    <col min="12" max="12" width="12.33203125" style="1" hidden="1" customWidth="1"/>
    <col min="13" max="13" width="13" style="1" hidden="1" customWidth="1"/>
    <col min="14" max="14" width="12.44140625" style="1" hidden="1" customWidth="1"/>
    <col min="15" max="15" width="12.109375" style="1" hidden="1" customWidth="1"/>
    <col min="16" max="16" width="11.5546875" style="1" hidden="1" customWidth="1"/>
    <col min="17" max="17" width="12.33203125" style="1" hidden="1" customWidth="1"/>
    <col min="18" max="18" width="16.109375" style="1" bestFit="1" customWidth="1"/>
    <col min="19" max="19" width="1" style="1" customWidth="1"/>
    <col min="20" max="20" width="13.33203125" style="1" bestFit="1" customWidth="1"/>
    <col min="21" max="21" width="1" style="1" customWidth="1"/>
    <col min="22" max="22" width="6.109375" style="1" customWidth="1"/>
    <col min="23" max="23" width="1" style="1" customWidth="1"/>
    <col min="24" max="24" width="12.109375" style="1" bestFit="1" customWidth="1"/>
    <col min="25" max="26" width="9.109375" style="1"/>
    <col min="27" max="27" width="18.5546875" style="1" bestFit="1" customWidth="1"/>
    <col min="28" max="28" width="15.88671875" style="1" bestFit="1" customWidth="1"/>
    <col min="29" max="29" width="10.5546875" style="1" bestFit="1" customWidth="1"/>
    <col min="30" max="30" width="11" style="1" bestFit="1" customWidth="1"/>
    <col min="31" max="31" width="11.6640625" style="1" bestFit="1" customWidth="1"/>
    <col min="32" max="32" width="12.6640625" style="1" bestFit="1" customWidth="1"/>
    <col min="33" max="33" width="13.44140625" style="1" bestFit="1" customWidth="1"/>
    <col min="34" max="34" width="11.88671875" style="1" bestFit="1" customWidth="1"/>
    <col min="35" max="35" width="12.5546875" style="1" bestFit="1" customWidth="1"/>
    <col min="36" max="36" width="11.88671875" style="1" bestFit="1" customWidth="1"/>
    <col min="37" max="37" width="12.5546875" style="1" bestFit="1" customWidth="1"/>
    <col min="38" max="38" width="12.44140625" style="1" bestFit="1" customWidth="1"/>
    <col min="39" max="39" width="12.109375" style="1" bestFit="1" customWidth="1"/>
    <col min="40" max="40" width="11.5546875" style="1" bestFit="1" customWidth="1"/>
    <col min="41" max="41" width="12.33203125" style="1" bestFit="1" customWidth="1"/>
    <col min="42" max="42" width="12.109375" style="1" bestFit="1" customWidth="1"/>
    <col min="43" max="16384" width="9.109375" style="1"/>
  </cols>
  <sheetData>
    <row r="1" spans="1:42" ht="15" thickBot="1" x14ac:dyDescent="0.35">
      <c r="A1" s="4" t="s">
        <v>1</v>
      </c>
      <c r="C1" s="5" t="s">
        <v>0</v>
      </c>
      <c r="F1" s="6" t="s">
        <v>4</v>
      </c>
      <c r="H1" s="6" t="s">
        <v>18</v>
      </c>
    </row>
    <row r="2" spans="1:42" ht="15" thickBot="1" x14ac:dyDescent="0.35">
      <c r="A2" s="2" t="s">
        <v>2</v>
      </c>
      <c r="C2" s="3" t="s">
        <v>3</v>
      </c>
      <c r="F2" s="7" t="e">
        <f>#REF!</f>
        <v>#REF!</v>
      </c>
      <c r="H2" s="72">
        <v>0.91539999999999999</v>
      </c>
    </row>
    <row r="3" spans="1:42" x14ac:dyDescent="0.3">
      <c r="E3" s="62"/>
    </row>
    <row r="5" spans="1:42" x14ac:dyDescent="0.3">
      <c r="E5" s="63" t="s">
        <v>3</v>
      </c>
      <c r="F5" s="63"/>
      <c r="G5" s="63" t="s">
        <v>92</v>
      </c>
      <c r="H5" s="63"/>
      <c r="I5" s="63" t="s">
        <v>93</v>
      </c>
      <c r="J5" s="63"/>
      <c r="K5" s="63" t="s">
        <v>0</v>
      </c>
      <c r="L5" s="63"/>
      <c r="M5" s="63"/>
      <c r="AE5" s="63" t="s">
        <v>3</v>
      </c>
      <c r="AF5" s="63"/>
      <c r="AG5" s="63" t="s">
        <v>92</v>
      </c>
      <c r="AH5" s="63"/>
      <c r="AI5" s="63" t="s">
        <v>93</v>
      </c>
      <c r="AJ5" s="63"/>
      <c r="AK5" s="63" t="s">
        <v>0</v>
      </c>
    </row>
    <row r="6" spans="1:42" x14ac:dyDescent="0.3">
      <c r="A6" s="68"/>
      <c r="B6" s="68"/>
      <c r="C6" s="68"/>
      <c r="D6" s="68"/>
      <c r="E6" s="69">
        <f>SUBTOTAL(109,Promotores5[R$ Avi])</f>
        <v>0</v>
      </c>
      <c r="F6" s="69"/>
      <c r="G6" s="69">
        <f>SUBTOTAL(109,Promotores5[R$ Capp])</f>
        <v>0</v>
      </c>
      <c r="H6" s="69"/>
      <c r="I6" s="69">
        <f>SUBTOTAL(109,Promotores5[R$ Fam])</f>
        <v>0</v>
      </c>
      <c r="J6" s="69"/>
      <c r="K6" s="69">
        <f>SUBTOTAL(109,Promotores5[R$ S&amp;V])</f>
        <v>0</v>
      </c>
      <c r="L6" s="69"/>
      <c r="M6" s="69">
        <f>SUBTOTAL(109,Promotores5[R$ Treb])</f>
        <v>2100</v>
      </c>
      <c r="N6" s="69">
        <f>SUBTOTAL(109,Promotores5[Master])</f>
        <v>0</v>
      </c>
      <c r="O6" s="69">
        <f>SUBTOTAL(109,Promotores5[Gestor])</f>
        <v>5296.75</v>
      </c>
      <c r="P6" s="69"/>
      <c r="Q6" s="69">
        <f>SUBTOTAL(109,Promotores5[R$ Dev])</f>
        <v>0</v>
      </c>
      <c r="R6" s="100">
        <f>SUBTOTAL(109,Promotores5[Total+Treb])</f>
        <v>7396.75</v>
      </c>
      <c r="S6" s="93"/>
      <c r="T6" s="100">
        <f>SUBTOTAL(109,T8:T39)</f>
        <v>15301.75</v>
      </c>
      <c r="U6" s="93"/>
      <c r="V6" s="101">
        <f>(R6/T6)-1</f>
        <v>-0.51660757756465769</v>
      </c>
      <c r="W6" s="93"/>
      <c r="X6" s="94">
        <f>(R6-T6)</f>
        <v>-7905</v>
      </c>
      <c r="AE6" s="69">
        <f>SUBTOTAL(109,Coordenadores6[R$ Avi])</f>
        <v>0</v>
      </c>
      <c r="AG6" s="69">
        <f>SUBTOTAL(109,Coordenadores6[R$ Capp])</f>
        <v>0</v>
      </c>
      <c r="AI6" s="69">
        <f>SUBTOTAL(109,Coordenadores6[R$ Fam])</f>
        <v>0</v>
      </c>
      <c r="AK6" s="69">
        <f>SUBTOTAL(109,Coordenadores6[R$ S&amp;V])</f>
        <v>0</v>
      </c>
      <c r="AL6" s="69">
        <f>SUBTOTAL(109,Coordenadores6[Master])</f>
        <v>0</v>
      </c>
      <c r="AM6" s="69">
        <f>SUBTOTAL(109,Coordenadores6[Gestor])</f>
        <v>1200</v>
      </c>
      <c r="AN6" s="69"/>
      <c r="AO6" s="69">
        <f>SUBTOTAL(109,Promotores5[R$ Dev])</f>
        <v>0</v>
      </c>
      <c r="AP6" s="69">
        <f>SUBTOTAL(109,Coordenadores6[Total])</f>
        <v>1200</v>
      </c>
    </row>
    <row r="7" spans="1:42" ht="15.6" x14ac:dyDescent="0.3">
      <c r="A7" s="8" t="s">
        <v>5</v>
      </c>
      <c r="B7" s="8" t="s">
        <v>94</v>
      </c>
      <c r="C7" s="8" t="s">
        <v>58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344</v>
      </c>
      <c r="M7" s="8" t="s">
        <v>345</v>
      </c>
      <c r="N7" s="8" t="s">
        <v>14</v>
      </c>
      <c r="O7" s="8" t="s">
        <v>19</v>
      </c>
      <c r="P7" s="8" t="s">
        <v>15</v>
      </c>
      <c r="Q7" s="8" t="s">
        <v>16</v>
      </c>
      <c r="R7" s="8" t="s">
        <v>346</v>
      </c>
      <c r="T7" s="95" t="s">
        <v>347</v>
      </c>
      <c r="V7" s="95" t="s">
        <v>348</v>
      </c>
      <c r="X7" s="95" t="s">
        <v>350</v>
      </c>
      <c r="AA7" s="71" t="s">
        <v>25</v>
      </c>
      <c r="AB7" s="71" t="s">
        <v>94</v>
      </c>
      <c r="AC7" s="71" t="s">
        <v>58</v>
      </c>
      <c r="AD7" s="71" t="s">
        <v>6</v>
      </c>
      <c r="AE7" s="71" t="s">
        <v>7</v>
      </c>
      <c r="AF7" s="71" t="s">
        <v>8</v>
      </c>
      <c r="AG7" s="71" t="s">
        <v>9</v>
      </c>
      <c r="AH7" s="71" t="s">
        <v>10</v>
      </c>
      <c r="AI7" s="71" t="s">
        <v>11</v>
      </c>
      <c r="AJ7" s="71" t="s">
        <v>12</v>
      </c>
      <c r="AK7" s="71" t="s">
        <v>13</v>
      </c>
      <c r="AL7" s="71" t="s">
        <v>14</v>
      </c>
      <c r="AM7" s="71" t="s">
        <v>19</v>
      </c>
      <c r="AN7" s="71" t="s">
        <v>15</v>
      </c>
      <c r="AO7" s="71" t="s">
        <v>16</v>
      </c>
      <c r="AP7" s="71" t="s">
        <v>17</v>
      </c>
    </row>
    <row r="8" spans="1:42" x14ac:dyDescent="0.3">
      <c r="A8" s="1" t="s">
        <v>59</v>
      </c>
      <c r="B8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8" s="1" t="str">
        <f>IF(Promotores5[[#This Row],[Sell Out]]&gt;=300000,"A+",IF(Promotores5[[#This Row],[Sell Out]]&gt;=260000,"A",IF(Promotores5[[#This Row],[Sell Out]]&gt;=200000,"B","C")))</f>
        <v>C</v>
      </c>
      <c r="D8" s="61">
        <f>IFERROR(IFERROR(VLOOKUP(Promotores5[[#This Row],[Promotor]],#REF!,2,0),0)/IFERROR(VLOOKUP(Promotores5[[#This Row],[Promotor]],#REF!,4,0),0),0)</f>
        <v>0</v>
      </c>
      <c r="E8" s="70">
        <f>IFERROR(IF(OR(VLOOKUP(A8,Rotas[[PROMOTOR]:[REGIONAL]],2,0)="Pará Sul",VLOOKUP(A8,Rotas[[PROMOTOR]:[REGIONAL]],2,0)="Pará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8" s="61">
        <f>IFERROR(IFERROR(VLOOKUP(Promotores5[[#This Row],[Promotor]],#REF!,2,0),0)/IFERROR(VLOOKUP(Promotores5[[#This Row],[Promotor]],#REF!,4,0),0),0)</f>
        <v>0</v>
      </c>
      <c r="G8" s="70">
        <f>IFERROR(IF(OR(VLOOKUP(A8,Rotas[[PROMOTOR]:[REGIONAL]],2,0)="Pará Sul",VLOOKUP(A8,Rotas[[PROMOTOR]:[REGIONAL]],2,0)="Pará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8" s="61">
        <f>IFERROR(IFERROR(VLOOKUP(Promotores5[[#This Row],[Promotor]],#REF!,2,0),0)/IFERROR(VLOOKUP(Promotores5[[#This Row],[Promotor]],#REF!,4,0),0),0)</f>
        <v>0</v>
      </c>
      <c r="I8" s="70">
        <f>IFERROR(IF(OR(VLOOKUP(A8,Rotas[[PROMOTOR]:[REGIONAL]],2,0)="Pará Sul",VLOOKUP(A8,Rotas[[PROMOTOR]:[REGIONAL]],2,0)="Pará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8" s="61">
        <f>IFERROR(IFERROR(VLOOKUP(Promotores5[[#This Row],[Promotor]],#REF!,2,0),0)/IFERROR(VLOOKUP(Promotores5[[#This Row],[Promotor]],#REF!,4,0),0),0)</f>
        <v>0</v>
      </c>
      <c r="K8" s="70">
        <f>IFERROR(IF(OR(VLOOKUP(A8,Rotas[[PROMOTOR]:[REGIONAL]],2,0)="Pará Sul",VLOOKUP(A8,Rotas[[PROMOTOR]:[REGIONAL]],2,0)="Pará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8" s="61">
        <v>1</v>
      </c>
      <c r="M8" s="70">
        <f>IFERROR(IF(OR(VLOOKUP(A8,Rotas[[PROMOTOR]:[REGIONAL]],2,0)="Pará Sul",VLOOKUP(A8,Rotas[[PROMOTOR]:[REGIONAL]],2,0)="Pará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8" s="70">
        <f>IF(Promotores5[[#This Row],[Sell Out]]=0,0,IF($H$2&gt;=115%,225,IF($H$2&gt;=100%,150,IF($H$2&gt;=90%,75,0))))</f>
        <v>0</v>
      </c>
      <c r="O8" s="70">
        <v>167.5</v>
      </c>
      <c r="P8" s="75">
        <f>IFERROR(IFERROR(VLOOKUP(Promotores5[[#This Row],[Promotor]],#REF!,6,0),0)/IFERROR(VLOOKUP(Promotores5[[#This Row],[Promotor]],#REF!,5,0),0),0)</f>
        <v>0</v>
      </c>
      <c r="Q8" s="70">
        <f t="shared" ref="Q8:Q29" si="0">IF(AND(P8&lt;=1%,P8&lt;&gt;0),225,0)</f>
        <v>0</v>
      </c>
      <c r="R8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267.5</v>
      </c>
      <c r="T8" s="96">
        <v>542.5</v>
      </c>
      <c r="V8" s="98">
        <f>(Promotores5[[#This Row],[Total+Treb]]/T8)-1</f>
        <v>-0.50691244239631339</v>
      </c>
      <c r="X8" s="96">
        <f>Promotores5[[#This Row],[Total+Treb]]-T8</f>
        <v>-275</v>
      </c>
      <c r="AA8" s="1" t="s">
        <v>307</v>
      </c>
      <c r="AB8" s="70">
        <f>IFERROR(VLOOKUP(Coordenadores6[[#This Row],[Coordenador]],#REF!,2,0)+VLOOKUP(Coordenadores6[[#This Row],[Coordenador]],#REF!,2,0)+VLOOKUP(Coordenadores6[[#This Row],[Coordenador]],#REF!,2,0)+VLOOKUP(Coordenadores6[[#This Row],[Coordenador]],#REF!,2,0),0)</f>
        <v>0</v>
      </c>
      <c r="AC8" s="1" t="str">
        <f>IF(Coordenadores6[[#This Row],[Sell Out]]&gt;=1750000,"A+",IF(Coordenadores6[[#This Row],[Sell Out]]&gt;=1000000,"A","B"))</f>
        <v>B</v>
      </c>
      <c r="AD8" s="61">
        <f>IFERROR(VLOOKUP(Coordenadores6[[#This Row],[Coordenador]],#REF!,2,0)/VLOOKUP(Coordenadores6[[#This Row],[Coordenador]],#REF!,4,0),0)</f>
        <v>0</v>
      </c>
      <c r="AE8" s="70">
        <f>IFERROR(IF(Coordenadores6[[#This Row],[Coordenador]]="Raianne",IF($C$2=$AE$5,(IF(Coordenadores6[[#This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Premiação'!$Z$4:$AC$6,2,0),0)))),IF($C$1=$AE$5,(IF(Coordenadores6[[#This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Premiação'!$Z$4:$AC$6,2,0),0))))),0)</f>
        <v>0</v>
      </c>
      <c r="AF8" s="61">
        <f>IFERROR(VLOOKUP(Coordenadores6[[#This Row],[Coordenador]],#REF!,2,0)/VLOOKUP(Coordenadores6[[#This Row],[Coordenador]],#REF!,4,0),0)</f>
        <v>0</v>
      </c>
      <c r="AG8" s="70">
        <f>IFERROR(IF(Coordenadores6[[#This Row],[Coordenador]]="Raianne",IF($C$2=$AG$5,(IF(Coordenadores6[[#This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Premiação'!$Z$4:$AC$6,2,0),0)))),IF($C$1=$AG$5,(IF(Coordenadores6[[#This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Premiação'!$Z$4:$AC$6,2,0),0))))),0)</f>
        <v>0</v>
      </c>
      <c r="AH8" s="61">
        <f>IFERROR(VLOOKUP(Coordenadores6[[#This Row],[Coordenador]],#REF!,2,0)/VLOOKUP(Coordenadores6[[#This Row],[Coordenador]],#REF!,4,0),0)</f>
        <v>0</v>
      </c>
      <c r="AI8" s="70">
        <f>IFERROR(IF(Coordenadores6[[#This Row],[Coordenador]]="Raianne",IF($C$2=$AI$5,(IF(Coordenadores6[[#This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Premiação'!$Z$4:$AC$6,2,0),0)))),IF($C$1=$AI$5,(IF(Coordenadores6[[#This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Premiação'!$Z$4:$AC$6,2,0),0))))),0)</f>
        <v>0</v>
      </c>
      <c r="AJ8" s="61">
        <f>IFERROR(VLOOKUP(Coordenadores6[[#This Row],[Coordenador]],#REF!,2,0)/VLOOKUP(Coordenadores6[[#This Row],[Coordenador]],#REF!,4,0),0)</f>
        <v>0</v>
      </c>
      <c r="AK8" s="70">
        <f>IFERROR(IF(Coordenadores6[[#This Row],[Coordenador]]="Raianne",IF($C$2=$AK$5,(IF(Coordenadores6[[#This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Premiação'!$Z$4:$AC$6,2,0),0)))),IF($C$1=$AK$5,(IF(Coordenadores6[[#This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Premiação'!$Z$4:$AC$6,2,0),0))))),0)</f>
        <v>0</v>
      </c>
      <c r="AL8" s="70">
        <f>IF(Coordenadores6[[#This Row],[Sell Out]]=0,0,IF($H$2&gt;=115%,300,IF($H$2&gt;=100%,200,IF($H$2&gt;=90%,100,0))))</f>
        <v>0</v>
      </c>
      <c r="AM8" s="70">
        <v>300</v>
      </c>
      <c r="AN8" s="61">
        <f>IFERROR(IFERROR(VLOOKUP(Coordenadores6[[#This Row],[Coordenador]],#REF!,6,0),0)/IFERROR(VLOOKUP(Coordenadores6[[#This Row],[Coordenador]],#REF!,5,0),0),0)</f>
        <v>0</v>
      </c>
      <c r="AO8" s="70">
        <f>IF(AND(Coordenadores6[[#This Row],[% Dev]]&lt;=1%,Coordenadores6[[#This Row],[% Dev]]&lt;&gt;0),225,0)</f>
        <v>0</v>
      </c>
      <c r="AP8" s="70">
        <f>SUM(Coordenadores6[[#This Row],[R$ Avi]],Coordenadores6[[#This Row],[R$ Capp]],Coordenadores6[[#This Row],[R$ Fam]],Coordenadores6[[#This Row],[R$ S&amp;V]],Coordenadores6[[#This Row],[Master]],Coordenadores6[[#This Row],[Gestor]],Coordenadores6[[#This Row],[R$ Dev]])</f>
        <v>300</v>
      </c>
    </row>
    <row r="9" spans="1:42" x14ac:dyDescent="0.3">
      <c r="A9" s="1" t="s">
        <v>60</v>
      </c>
      <c r="B9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9" s="1" t="str">
        <f>IF(Promotores5[[#This Row],[Sell Out]]&gt;=300000,"A+",IF(Promotores5[[#This Row],[Sell Out]]&gt;=260000,"A",IF(Promotores5[[#This Row],[Sell Out]]&gt;=200000,"B","C")))</f>
        <v>C</v>
      </c>
      <c r="D9" s="61">
        <f>IFERROR(IFERROR(VLOOKUP(Promotores5[[#This Row],[Promotor]],#REF!,2,0),0)/IFERROR(VLOOKUP(Promotores5[[#This Row],[Promotor]],#REF!,4,0),0),0)</f>
        <v>0</v>
      </c>
      <c r="E9" s="70">
        <f>IFERROR(IF(OR(VLOOKUP(A9,Rotas[[PROMOTOR]:[REGIONAL]],2,0)="Pará Sul",VLOOKUP(A9,Rotas[[PROMOTOR]:[REGIONAL]],2,0)="Pará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9" s="61">
        <f>IFERROR(IFERROR(VLOOKUP(Promotores5[[#This Row],[Promotor]],#REF!,2,0),0)/IFERROR(VLOOKUP(Promotores5[[#This Row],[Promotor]],#REF!,4,0),0),0)</f>
        <v>0</v>
      </c>
      <c r="G9" s="70">
        <f>IFERROR(IF(OR(VLOOKUP(A9,Rotas[[PROMOTOR]:[REGIONAL]],2,0)="Pará Sul",VLOOKUP(A9,Rotas[[PROMOTOR]:[REGIONAL]],2,0)="Pará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9" s="61">
        <f>IFERROR(IFERROR(VLOOKUP(Promotores5[[#This Row],[Promotor]],#REF!,2,0),0)/IFERROR(VLOOKUP(Promotores5[[#This Row],[Promotor]],#REF!,4,0),0),0)</f>
        <v>0</v>
      </c>
      <c r="I9" s="70">
        <f>IFERROR(IF(OR(VLOOKUP(A9,Rotas[[PROMOTOR]:[REGIONAL]],2,0)="Pará Sul",VLOOKUP(A9,Rotas[[PROMOTOR]:[REGIONAL]],2,0)="Pará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9" s="61">
        <f>IFERROR(IFERROR(VLOOKUP(Promotores5[[#This Row],[Promotor]],#REF!,2,0),0)/IFERROR(VLOOKUP(Promotores5[[#This Row],[Promotor]],#REF!,4,0),0),0)</f>
        <v>0</v>
      </c>
      <c r="K9" s="70">
        <f>IFERROR(IF(OR(VLOOKUP(A9,Rotas[[PROMOTOR]:[REGIONAL]],2,0)="Pará Sul",VLOOKUP(A9,Rotas[[PROMOTOR]:[REGIONAL]],2,0)="Pará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9" s="61">
        <v>1</v>
      </c>
      <c r="M9" s="70">
        <f>IFERROR(IF(OR(VLOOKUP(A9,Rotas[[PROMOTOR]:[REGIONAL]],2,0)="Pará Sul",VLOOKUP(A9,Rotas[[PROMOTOR]:[REGIONAL]],2,0)="Pará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9" s="70">
        <f>IF(Promotores5[[#This Row],[Sell Out]]=0,0,IF($H$2&gt;=115%,225,IF($H$2&gt;=100%,150,IF($H$2&gt;=90%,75,0))))</f>
        <v>0</v>
      </c>
      <c r="O9" s="70">
        <v>156.25</v>
      </c>
      <c r="P9" s="75">
        <f>IFERROR(IFERROR(VLOOKUP(Promotores5[[#This Row],[Promotor]],#REF!,6,0),0)/IFERROR(VLOOKUP(Promotores5[[#This Row],[Promotor]],#REF!,5,0),0),0)</f>
        <v>0</v>
      </c>
      <c r="Q9" s="70">
        <f t="shared" si="0"/>
        <v>0</v>
      </c>
      <c r="R9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256.25</v>
      </c>
      <c r="T9" s="97">
        <v>571.25</v>
      </c>
      <c r="V9" s="99">
        <f>(Promotores5[[#This Row],[Total+Treb]]/T9)-1</f>
        <v>-0.55142231947483589</v>
      </c>
      <c r="X9" s="97">
        <f>Promotores5[[#This Row],[Total+Treb]]-T9</f>
        <v>-315</v>
      </c>
      <c r="AA9" s="1" t="s">
        <v>308</v>
      </c>
      <c r="AB9" s="70">
        <f>IFERROR(VLOOKUP(Coordenadores6[[#This Row],[Coordenador]],#REF!,2,0)+VLOOKUP(Coordenadores6[[#This Row],[Coordenador]],#REF!,2,0)+VLOOKUP(Coordenadores6[[#This Row],[Coordenador]],#REF!,2,0)+VLOOKUP(Coordenadores6[[#This Row],[Coordenador]],#REF!,2,0),0)</f>
        <v>0</v>
      </c>
      <c r="AC9" s="1" t="str">
        <f>IF(Coordenadores6[[#This Row],[Sell Out]]&gt;=1750000,"A+",IF(Coordenadores6[[#This Row],[Sell Out]]&gt;=1000000,"A","B"))</f>
        <v>B</v>
      </c>
      <c r="AD9" s="61">
        <f>IFERROR(VLOOKUP(Coordenadores6[[#This Row],[Coordenador]],#REF!,2,0)/VLOOKUP(Coordenadores6[[#This Row],[Coordenador]],#REF!,4,0),0)</f>
        <v>0</v>
      </c>
      <c r="AE9" s="70">
        <f>IFERROR(IF(Coordenadores6[[#This Row],[Coordenador]]="Raianne",IF($C$2=$AE$5,(IF(Coordenadores6[[#This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Premiação'!$Z$4:$AC$6,2,0),0)))),IF($C$1=$AE$5,(IF(Coordenadores6[[#This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Premiação'!$Z$4:$AC$6,2,0),0))))),0)</f>
        <v>0</v>
      </c>
      <c r="AF9" s="61">
        <f>IFERROR(VLOOKUP(Coordenadores6[[#This Row],[Coordenador]],#REF!,2,0)/VLOOKUP(Coordenadores6[[#This Row],[Coordenador]],#REF!,4,0),0)</f>
        <v>0</v>
      </c>
      <c r="AG9" s="70">
        <f>IFERROR(IF(Coordenadores6[[#This Row],[Coordenador]]="Raianne",IF($C$2=$AG$5,(IF(Coordenadores6[[#This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Premiação'!$Z$4:$AC$6,2,0),0)))),IF($C$1=$AG$5,(IF(Coordenadores6[[#This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Premiação'!$Z$4:$AC$6,2,0),0))))),0)</f>
        <v>0</v>
      </c>
      <c r="AH9" s="61">
        <f>IFERROR(VLOOKUP(Coordenadores6[[#This Row],[Coordenador]],#REF!,2,0)/VLOOKUP(Coordenadores6[[#This Row],[Coordenador]],#REF!,4,0),0)</f>
        <v>0</v>
      </c>
      <c r="AI9" s="70">
        <f>IFERROR(IF(Coordenadores6[[#This Row],[Coordenador]]="Raianne",IF($C$2=$AI$5,(IF(Coordenadores6[[#This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Premiação'!$Z$4:$AC$6,2,0),0)))),IF($C$1=$AI$5,(IF(Coordenadores6[[#This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Premiação'!$Z$4:$AC$6,2,0),0))))),0)</f>
        <v>0</v>
      </c>
      <c r="AJ9" s="61">
        <f>IFERROR(VLOOKUP(Coordenadores6[[#This Row],[Coordenador]],#REF!,2,0)/VLOOKUP(Coordenadores6[[#This Row],[Coordenador]],#REF!,4,0),0)</f>
        <v>0</v>
      </c>
      <c r="AK9" s="70">
        <f>IFERROR(IF(Coordenadores6[[#This Row],[Coordenador]]="Raianne",IF($C$2=$AK$5,(IF(Coordenadores6[[#This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Premiação'!$Z$4:$AC$6,2,0),0)))),IF($C$1=$AK$5,(IF(Coordenadores6[[#This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Premiação'!$Z$4:$AC$6,2,0),0))))),0)</f>
        <v>0</v>
      </c>
      <c r="AL9" s="70">
        <f>IF(Coordenadores6[[#This Row],[Sell Out]]=0,0,IF($H$2&gt;=115%,300,IF($H$2&gt;=100%,200,IF($H$2&gt;=90%,100,0))))</f>
        <v>0</v>
      </c>
      <c r="AM9" s="70">
        <v>300</v>
      </c>
      <c r="AN9" s="61">
        <f>IFERROR(IFERROR(VLOOKUP(Coordenadores6[[#This Row],[Coordenador]],#REF!,6,0),0)/IFERROR(VLOOKUP(Coordenadores6[[#This Row],[Coordenador]],#REF!,5,0),0),0)</f>
        <v>0</v>
      </c>
      <c r="AO9" s="70">
        <f>IF(AND(Coordenadores6[[#This Row],[% Dev]]&lt;=1%,Coordenadores6[[#This Row],[% Dev]]&lt;&gt;0),225,0)</f>
        <v>0</v>
      </c>
      <c r="AP9" s="70">
        <f>SUM(Coordenadores6[[#This Row],[R$ Avi]],Coordenadores6[[#This Row],[R$ Capp]],Coordenadores6[[#This Row],[R$ Fam]],Coordenadores6[[#This Row],[R$ S&amp;V]],Coordenadores6[[#This Row],[Master]],Coordenadores6[[#This Row],[Gestor]],Coordenadores6[[#This Row],[R$ Dev]])</f>
        <v>300</v>
      </c>
    </row>
    <row r="10" spans="1:42" x14ac:dyDescent="0.3">
      <c r="A10" s="1" t="s">
        <v>61</v>
      </c>
      <c r="B10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0" s="1" t="str">
        <f>IF(Promotores5[[#This Row],[Sell Out]]&gt;=300000,"A+",IF(Promotores5[[#This Row],[Sell Out]]&gt;=260000,"A",IF(Promotores5[[#This Row],[Sell Out]]&gt;=200000,"B","C")))</f>
        <v>C</v>
      </c>
      <c r="D10" s="61">
        <f>IFERROR(IFERROR(VLOOKUP(Promotores5[[#This Row],[Promotor]],#REF!,2,0),0)/IFERROR(VLOOKUP(Promotores5[[#This Row],[Promotor]],#REF!,4,0),0),0)</f>
        <v>0</v>
      </c>
      <c r="E10" s="70">
        <f>IFERROR(IF(OR(VLOOKUP(A10,Rotas[[PROMOTOR]:[REGIONAL]],2,0)="Pará Sul",VLOOKUP(A10,Rotas[[PROMOTOR]:[REGIONAL]],2,0)="Pará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0" s="61">
        <f>IFERROR(IFERROR(VLOOKUP(Promotores5[[#This Row],[Promotor]],#REF!,2,0),0)/IFERROR(VLOOKUP(Promotores5[[#This Row],[Promotor]],#REF!,4,0),0),0)</f>
        <v>0</v>
      </c>
      <c r="G10" s="70">
        <f>IFERROR(IF(OR(VLOOKUP(A10,Rotas[[PROMOTOR]:[REGIONAL]],2,0)="Pará Sul",VLOOKUP(A10,Rotas[[PROMOTOR]:[REGIONAL]],2,0)="Pará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0" s="61">
        <f>IFERROR(IFERROR(VLOOKUP(Promotores5[[#This Row],[Promotor]],#REF!,2,0),0)/IFERROR(VLOOKUP(Promotores5[[#This Row],[Promotor]],#REF!,4,0),0),0)</f>
        <v>0</v>
      </c>
      <c r="I10" s="70">
        <f>IFERROR(IF(OR(VLOOKUP(A10,Rotas[[PROMOTOR]:[REGIONAL]],2,0)="Pará Sul",VLOOKUP(A10,Rotas[[PROMOTOR]:[REGIONAL]],2,0)="Pará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0" s="61">
        <f>IFERROR(IFERROR(VLOOKUP(Promotores5[[#This Row],[Promotor]],#REF!,2,0),0)/IFERROR(VLOOKUP(Promotores5[[#This Row],[Promotor]],#REF!,4,0),0),0)</f>
        <v>0</v>
      </c>
      <c r="K10" s="70">
        <f>IFERROR(IF(OR(VLOOKUP(A10,Rotas[[PROMOTOR]:[REGIONAL]],2,0)="Pará Sul",VLOOKUP(A10,Rotas[[PROMOTOR]:[REGIONAL]],2,0)="Pará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0" s="61">
        <v>1</v>
      </c>
      <c r="M10" s="70">
        <f>IFERROR(IF(OR(VLOOKUP(A10,Rotas[[PROMOTOR]:[REGIONAL]],2,0)="Pará Sul",VLOOKUP(A10,Rotas[[PROMOTOR]:[REGIONAL]],2,0)="Pará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10" s="70">
        <f>IF(Promotores5[[#This Row],[Sell Out]]=0,0,IF($H$2&gt;=115%,225,IF($H$2&gt;=100%,150,IF($H$2&gt;=90%,75,0))))</f>
        <v>0</v>
      </c>
      <c r="O10" s="70">
        <v>201.75</v>
      </c>
      <c r="P10" s="75">
        <f>IFERROR(IFERROR(VLOOKUP(Promotores5[[#This Row],[Promotor]],#REF!,6,0),0)/IFERROR(VLOOKUP(Promotores5[[#This Row],[Promotor]],#REF!,5,0),0),0)</f>
        <v>0</v>
      </c>
      <c r="Q10" s="70">
        <f t="shared" si="0"/>
        <v>0</v>
      </c>
      <c r="R10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201.75</v>
      </c>
      <c r="T10" s="96">
        <v>401.75</v>
      </c>
      <c r="V10" s="98">
        <f>(Promotores5[[#This Row],[Total+Treb]]/T10)-1</f>
        <v>-0.49782202862476665</v>
      </c>
      <c r="X10" s="96">
        <f>Promotores5[[#This Row],[Total+Treb]]-T10</f>
        <v>-200</v>
      </c>
      <c r="AA10" s="1" t="s">
        <v>309</v>
      </c>
      <c r="AB10" s="70">
        <f>IFERROR(VLOOKUP(Coordenadores6[[#This Row],[Coordenador]],#REF!,2,0)+VLOOKUP(Coordenadores6[[#This Row],[Coordenador]],#REF!,2,0)+VLOOKUP(Coordenadores6[[#This Row],[Coordenador]],#REF!,2,0)+VLOOKUP(Coordenadores6[[#This Row],[Coordenador]],#REF!,2,0),0)</f>
        <v>0</v>
      </c>
      <c r="AC10" s="1" t="str">
        <f>IF(Coordenadores6[[#This Row],[Sell Out]]&gt;=1750000,"A+",IF(Coordenadores6[[#This Row],[Sell Out]]&gt;=1000000,"A","B"))</f>
        <v>B</v>
      </c>
      <c r="AD10" s="61">
        <f>IFERROR(VLOOKUP(Coordenadores6[[#This Row],[Coordenador]],#REF!,2,0)/VLOOKUP(Coordenadores6[[#This Row],[Coordenador]],#REF!,4,0),0)</f>
        <v>0</v>
      </c>
      <c r="AE10" s="70">
        <f>IFERROR(IF(Coordenadores6[[#This Row],[Coordenador]]="Raianne",IF($C$2=$AE$5,(IF(Coordenadores6[[#This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Premiação'!$Z$4:$AC$6,2,0),0)))),IF($C$1=$AE$5,(IF(Coordenadores6[[#This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Premiação'!$Z$4:$AC$6,2,0),0))))),0)</f>
        <v>0</v>
      </c>
      <c r="AF10" s="61">
        <f>IFERROR(VLOOKUP(Coordenadores6[[#This Row],[Coordenador]],#REF!,2,0)/VLOOKUP(Coordenadores6[[#This Row],[Coordenador]],#REF!,4,0),0)</f>
        <v>0</v>
      </c>
      <c r="AG10" s="70">
        <f>IFERROR(IF(Coordenadores6[[#This Row],[Coordenador]]="Raianne",IF($C$2=$AG$5,(IF(Coordenadores6[[#This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Premiação'!$Z$4:$AC$6,2,0),0)))),IF($C$1=$AG$5,(IF(Coordenadores6[[#This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Premiação'!$Z$4:$AC$6,2,0),0))))),0)</f>
        <v>0</v>
      </c>
      <c r="AH10" s="61">
        <f>IFERROR(VLOOKUP(Coordenadores6[[#This Row],[Coordenador]],#REF!,2,0)/VLOOKUP(Coordenadores6[[#This Row],[Coordenador]],#REF!,4,0),0)</f>
        <v>0</v>
      </c>
      <c r="AI10" s="70">
        <f>IFERROR(IF(Coordenadores6[[#This Row],[Coordenador]]="Raianne",IF($C$2=$AI$5,(IF(Coordenadores6[[#This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Premiação'!$Z$4:$AC$6,2,0),0)))),IF($C$1=$AI$5,(IF(Coordenadores6[[#This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Premiação'!$Z$4:$AC$6,2,0),0))))),0)</f>
        <v>0</v>
      </c>
      <c r="AJ10" s="61">
        <f>IFERROR(VLOOKUP(Coordenadores6[[#This Row],[Coordenador]],#REF!,2,0)/VLOOKUP(Coordenadores6[[#This Row],[Coordenador]],#REF!,4,0),0)</f>
        <v>0</v>
      </c>
      <c r="AK10" s="70">
        <f>IFERROR(IF(Coordenadores6[[#This Row],[Coordenador]]="Raianne",IF($C$2=$AK$5,(IF(Coordenadores6[[#This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Premiação'!$Z$4:$AC$6,2,0),0)))),IF($C$1=$AK$5,(IF(Coordenadores6[[#This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Premiação'!$Z$4:$AC$6,2,0),0))))),0)</f>
        <v>0</v>
      </c>
      <c r="AL10" s="70">
        <f>IF(Coordenadores6[[#This Row],[Sell Out]]=0,0,IF($H$2&gt;=115%,300,IF($H$2&gt;=100%,200,IF($H$2&gt;=90%,100,0))))</f>
        <v>0</v>
      </c>
      <c r="AM10" s="70"/>
      <c r="AN10" s="61">
        <f>IFERROR(IFERROR(VLOOKUP(Coordenadores6[[#This Row],[Coordenador]],#REF!,6,0),0)/IFERROR(VLOOKUP(Coordenadores6[[#This Row],[Coordenador]],#REF!,5,0),0),0)</f>
        <v>0</v>
      </c>
      <c r="AO10" s="70">
        <f>IF(AND(Coordenadores6[[#This Row],[% Dev]]&lt;=1%,Coordenadores6[[#This Row],[% Dev]]&lt;&gt;0),225,0)</f>
        <v>0</v>
      </c>
      <c r="AP10" s="70">
        <f>SUM(Coordenadores6[[#This Row],[R$ Avi]],Coordenadores6[[#This Row],[R$ Capp]],Coordenadores6[[#This Row],[R$ Fam]],Coordenadores6[[#This Row],[R$ S&amp;V]],Coordenadores6[[#This Row],[Master]],Coordenadores6[[#This Row],[Gestor]],Coordenadores6[[#This Row],[R$ Dev]])</f>
        <v>0</v>
      </c>
    </row>
    <row r="11" spans="1:42" x14ac:dyDescent="0.3">
      <c r="A11" s="1" t="s">
        <v>62</v>
      </c>
      <c r="B11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1" s="1" t="str">
        <f>IF(Promotores5[[#This Row],[Sell Out]]&gt;=300000,"A+",IF(Promotores5[[#This Row],[Sell Out]]&gt;=260000,"A",IF(Promotores5[[#This Row],[Sell Out]]&gt;=200000,"B","C")))</f>
        <v>C</v>
      </c>
      <c r="D11" s="61">
        <f>IFERROR(IFERROR(VLOOKUP(Promotores5[[#This Row],[Promotor]],#REF!,2,0),0)/IFERROR(VLOOKUP(Promotores5[[#This Row],[Promotor]],#REF!,4,0),0),0)</f>
        <v>0</v>
      </c>
      <c r="E11" s="70">
        <f>IFERROR(IF(OR(VLOOKUP(A11,Rotas[[PROMOTOR]:[REGIONAL]],2,0)="Pará Sul",VLOOKUP(A11,Rotas[[PROMOTOR]:[REGIONAL]],2,0)="Pará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1" s="61">
        <f>IFERROR(IFERROR(VLOOKUP(Promotores5[[#This Row],[Promotor]],#REF!,2,0),0)/IFERROR(VLOOKUP(Promotores5[[#This Row],[Promotor]],#REF!,4,0),0),0)</f>
        <v>0</v>
      </c>
      <c r="G11" s="70">
        <f>IFERROR(IF(OR(VLOOKUP(A11,Rotas[[PROMOTOR]:[REGIONAL]],2,0)="Pará Sul",VLOOKUP(A11,Rotas[[PROMOTOR]:[REGIONAL]],2,0)="Pará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1" s="61">
        <f>IFERROR(IFERROR(VLOOKUP(Promotores5[[#This Row],[Promotor]],#REF!,2,0),0)/IFERROR(VLOOKUP(Promotores5[[#This Row],[Promotor]],#REF!,4,0),0),0)</f>
        <v>0</v>
      </c>
      <c r="I11" s="70">
        <f>IFERROR(IF(OR(VLOOKUP(A11,Rotas[[PROMOTOR]:[REGIONAL]],2,0)="Pará Sul",VLOOKUP(A11,Rotas[[PROMOTOR]:[REGIONAL]],2,0)="Pará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1" s="61">
        <f>IFERROR(IFERROR(VLOOKUP(Promotores5[[#This Row],[Promotor]],#REF!,2,0),0)/IFERROR(VLOOKUP(Promotores5[[#This Row],[Promotor]],#REF!,4,0),0),0)</f>
        <v>0</v>
      </c>
      <c r="K11" s="70">
        <f>IFERROR(IF(OR(VLOOKUP(A11,Rotas[[PROMOTOR]:[REGIONAL]],2,0)="Pará Sul",VLOOKUP(A11,Rotas[[PROMOTOR]:[REGIONAL]],2,0)="Pará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1" s="61">
        <v>1</v>
      </c>
      <c r="M11" s="70">
        <f>IFERROR(IF(OR(VLOOKUP(A11,Rotas[[PROMOTOR]:[REGIONAL]],2,0)="Pará Sul",VLOOKUP(A11,Rotas[[PROMOTOR]:[REGIONAL]],2,0)="Pará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11" s="70">
        <f>IF(Promotores5[[#This Row],[Sell Out]]=0,0,IF($H$2&gt;=115%,225,IF($H$2&gt;=100%,150,IF($H$2&gt;=90%,75,0))))</f>
        <v>0</v>
      </c>
      <c r="O11" s="70">
        <v>207.5</v>
      </c>
      <c r="P11" s="75">
        <f>IFERROR(IFERROR(VLOOKUP(Promotores5[[#This Row],[Promotor]],#REF!,6,0),0)/IFERROR(VLOOKUP(Promotores5[[#This Row],[Promotor]],#REF!,5,0),0),0)</f>
        <v>0</v>
      </c>
      <c r="Q11" s="70">
        <f t="shared" si="0"/>
        <v>0</v>
      </c>
      <c r="R11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307.5</v>
      </c>
      <c r="T11" s="97">
        <v>492.5</v>
      </c>
      <c r="V11" s="99">
        <f>(Promotores5[[#This Row],[Total+Treb]]/T11)-1</f>
        <v>-0.37563451776649748</v>
      </c>
      <c r="X11" s="97">
        <f>Promotores5[[#This Row],[Total+Treb]]-T11</f>
        <v>-185</v>
      </c>
      <c r="AA11" s="1" t="s">
        <v>310</v>
      </c>
      <c r="AB11" s="70">
        <f>IFERROR(VLOOKUP(Coordenadores6[[#This Row],[Coordenador]],#REF!,2,0)+VLOOKUP(Coordenadores6[[#This Row],[Coordenador]],#REF!,2,0)+VLOOKUP(Coordenadores6[[#This Row],[Coordenador]],#REF!,2,0)+VLOOKUP(Coordenadores6[[#This Row],[Coordenador]],#REF!,2,0),0)</f>
        <v>0</v>
      </c>
      <c r="AC11" s="1" t="str">
        <f>IF(Coordenadores6[[#This Row],[Sell Out]]&gt;=1750000,"A+",IF(Coordenadores6[[#This Row],[Sell Out]]&gt;=1000000,"A","B"))</f>
        <v>B</v>
      </c>
      <c r="AD11" s="61">
        <f>IFERROR(VLOOKUP(Coordenadores6[[#This Row],[Coordenador]],#REF!,2,0)/VLOOKUP(Coordenadores6[[#This Row],[Coordenador]],#REF!,4,0),0)</f>
        <v>0</v>
      </c>
      <c r="AE11" s="70">
        <f>IFERROR(IF(Coordenadores6[[#This Row],[Coordenador]]="Raianne",IF($C$2=$AE$5,(IF(Coordenadores6[[#This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Premiação'!$Z$4:$AC$6,2,0),0)))),IF($C$1=$AE$5,(IF(Coordenadores6[[#This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Premiação'!$Z$4:$AC$6,2,0),0))))),0)</f>
        <v>0</v>
      </c>
      <c r="AF11" s="61">
        <f>IFERROR(VLOOKUP(Coordenadores6[[#This Row],[Coordenador]],#REF!,2,0)/VLOOKUP(Coordenadores6[[#This Row],[Coordenador]],#REF!,4,0),0)</f>
        <v>0</v>
      </c>
      <c r="AG11" s="70">
        <f>IFERROR(IF(Coordenadores6[[#This Row],[Coordenador]]="Raianne",IF($C$2=$AG$5,(IF(Coordenadores6[[#This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Premiação'!$Z$4:$AC$6,2,0),0)))),IF($C$1=$AG$5,(IF(Coordenadores6[[#This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Premiação'!$Z$4:$AC$6,2,0),0))))),0)</f>
        <v>0</v>
      </c>
      <c r="AH11" s="61">
        <f>IFERROR(VLOOKUP(Coordenadores6[[#This Row],[Coordenador]],#REF!,2,0)/VLOOKUP(Coordenadores6[[#This Row],[Coordenador]],#REF!,4,0),0)</f>
        <v>0</v>
      </c>
      <c r="AI11" s="70">
        <f>IFERROR(IF(Coordenadores6[[#This Row],[Coordenador]]="Raianne",IF($C$2=$AI$5,(IF(Coordenadores6[[#This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Premiação'!$Z$4:$AC$6,2,0),0)))),IF($C$1=$AI$5,(IF(Coordenadores6[[#This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Premiação'!$Z$4:$AC$6,2,0),0))))),0)</f>
        <v>0</v>
      </c>
      <c r="AJ11" s="61">
        <f>IFERROR(VLOOKUP(Coordenadores6[[#This Row],[Coordenador]],#REF!,2,0)/VLOOKUP(Coordenadores6[[#This Row],[Coordenador]],#REF!,4,0),0)</f>
        <v>0</v>
      </c>
      <c r="AK11" s="70">
        <f>IFERROR(IF(Coordenadores6[[#This Row],[Coordenador]]="Raianne",IF($C$2=$AK$5,(IF(Coordenadores6[[#This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Premiação'!$Z$4:$AC$6,2,0),0)))),IF($C$1=$AK$5,(IF(Coordenadores6[[#This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Premiação'!$Z$4:$AC$6,2,0),0))))),0)</f>
        <v>0</v>
      </c>
      <c r="AL11" s="70">
        <f>IF(Coordenadores6[[#This Row],[Sell Out]]=0,0,IF($H$2&gt;=115%,300,IF($H$2&gt;=100%,200,IF($H$2&gt;=90%,100,0))))</f>
        <v>0</v>
      </c>
      <c r="AM11" s="70">
        <v>300</v>
      </c>
      <c r="AN11" s="61">
        <f>IFERROR(IFERROR(VLOOKUP(Coordenadores6[[#This Row],[Coordenador]],#REF!,6,0),0)/IFERROR(VLOOKUP(Coordenadores6[[#This Row],[Coordenador]],#REF!,5,0),0),0)</f>
        <v>0</v>
      </c>
      <c r="AO11" s="70">
        <f>IF(AND(Coordenadores6[[#This Row],[% Dev]]&lt;=1%,Coordenadores6[[#This Row],[% Dev]]&lt;&gt;0),225,0)</f>
        <v>0</v>
      </c>
      <c r="AP11" s="70">
        <f>SUM(Coordenadores6[[#This Row],[R$ Avi]],Coordenadores6[[#This Row],[R$ Capp]],Coordenadores6[[#This Row],[R$ Fam]],Coordenadores6[[#This Row],[R$ S&amp;V]],Coordenadores6[[#This Row],[Master]],Coordenadores6[[#This Row],[Gestor]],Coordenadores6[[#This Row],[R$ Dev]])</f>
        <v>300</v>
      </c>
    </row>
    <row r="12" spans="1:42" x14ac:dyDescent="0.3">
      <c r="A12" s="1" t="s">
        <v>63</v>
      </c>
      <c r="B12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2" s="1" t="str">
        <f>IF(Promotores5[[#This Row],[Sell Out]]&gt;=300000,"A+",IF(Promotores5[[#This Row],[Sell Out]]&gt;=260000,"A",IF(Promotores5[[#This Row],[Sell Out]]&gt;=200000,"B","C")))</f>
        <v>C</v>
      </c>
      <c r="D12" s="61">
        <f>IFERROR(IFERROR(VLOOKUP(Promotores5[[#This Row],[Promotor]],#REF!,2,0),0)/IFERROR(VLOOKUP(Promotores5[[#This Row],[Promotor]],#REF!,4,0),0),0)</f>
        <v>0</v>
      </c>
      <c r="E12" s="70">
        <f>IFERROR(IF(OR(VLOOKUP(A12,Rotas[[PROMOTOR]:[REGIONAL]],2,0)="Pará Sul",VLOOKUP(A12,Rotas[[PROMOTOR]:[REGIONAL]],2,0)="Pará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2" s="61">
        <f>IFERROR(IFERROR(VLOOKUP(Promotores5[[#This Row],[Promotor]],#REF!,2,0),0)/IFERROR(VLOOKUP(Promotores5[[#This Row],[Promotor]],#REF!,4,0),0),0)</f>
        <v>0</v>
      </c>
      <c r="G12" s="70">
        <f>IFERROR(IF(OR(VLOOKUP(A12,Rotas[[PROMOTOR]:[REGIONAL]],2,0)="Pará Sul",VLOOKUP(A12,Rotas[[PROMOTOR]:[REGIONAL]],2,0)="Pará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2" s="61">
        <f>IFERROR(IFERROR(VLOOKUP(Promotores5[[#This Row],[Promotor]],#REF!,2,0),0)/IFERROR(VLOOKUP(Promotores5[[#This Row],[Promotor]],#REF!,4,0),0),0)</f>
        <v>0</v>
      </c>
      <c r="I12" s="70">
        <f>IFERROR(IF(OR(VLOOKUP(A12,Rotas[[PROMOTOR]:[REGIONAL]],2,0)="Pará Sul",VLOOKUP(A12,Rotas[[PROMOTOR]:[REGIONAL]],2,0)="Pará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2" s="61">
        <f>IFERROR(IFERROR(VLOOKUP(Promotores5[[#This Row],[Promotor]],#REF!,2,0),0)/IFERROR(VLOOKUP(Promotores5[[#This Row],[Promotor]],#REF!,4,0),0),0)</f>
        <v>0</v>
      </c>
      <c r="K12" s="70">
        <f>IFERROR(IF(OR(VLOOKUP(A12,Rotas[[PROMOTOR]:[REGIONAL]],2,0)="Pará Sul",VLOOKUP(A12,Rotas[[PROMOTOR]:[REGIONAL]],2,0)="Pará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2" s="61">
        <v>1</v>
      </c>
      <c r="M12" s="70">
        <f>IFERROR(IF(OR(VLOOKUP(A12,Rotas[[PROMOTOR]:[REGIONAL]],2,0)="Pará Sul",VLOOKUP(A12,Rotas[[PROMOTOR]:[REGIONAL]],2,0)="Pará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12" s="70">
        <f>IF(Promotores5[[#This Row],[Sell Out]]=0,0,IF($H$2&gt;=115%,225,IF($H$2&gt;=100%,150,IF($H$2&gt;=90%,75,0))))</f>
        <v>0</v>
      </c>
      <c r="O12" s="70">
        <v>195</v>
      </c>
      <c r="P12" s="75">
        <f>IFERROR(IFERROR(VLOOKUP(Promotores5[[#This Row],[Promotor]],#REF!,6,0),0)/IFERROR(VLOOKUP(Promotores5[[#This Row],[Promotor]],#REF!,5,0),0),0)</f>
        <v>0</v>
      </c>
      <c r="Q12" s="70">
        <f t="shared" si="0"/>
        <v>0</v>
      </c>
      <c r="R12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295</v>
      </c>
      <c r="T12" s="96">
        <v>865</v>
      </c>
      <c r="V12" s="98">
        <f>(Promotores5[[#This Row],[Total+Treb]]/T12)-1</f>
        <v>-0.65895953757225434</v>
      </c>
      <c r="X12" s="96">
        <f>Promotores5[[#This Row],[Total+Treb]]-T12</f>
        <v>-570</v>
      </c>
      <c r="AA12" s="1" t="s">
        <v>311</v>
      </c>
      <c r="AB12" s="70">
        <f>IFERROR(VLOOKUP(Coordenadores6[[#This Row],[Coordenador]],#REF!,2,0)+VLOOKUP(Coordenadores6[[#This Row],[Coordenador]],#REF!,2,0)+VLOOKUP(Coordenadores6[[#This Row],[Coordenador]],#REF!,2,0)+VLOOKUP(Coordenadores6[[#This Row],[Coordenador]],#REF!,2,0),0)</f>
        <v>0</v>
      </c>
      <c r="AC12" s="1" t="str">
        <f>IF(Coordenadores6[[#This Row],[Sell Out]]&gt;=1750000,"A+",IF(Coordenadores6[[#This Row],[Sell Out]]&gt;=1000000,"A","B"))</f>
        <v>B</v>
      </c>
      <c r="AD12" s="61">
        <f>IFERROR(VLOOKUP(Coordenadores6[[#This Row],[Coordenador]],#REF!,2,0)/VLOOKUP(Coordenadores6[[#This Row],[Coordenador]],#REF!,4,0),0)</f>
        <v>0</v>
      </c>
      <c r="AE12" s="70">
        <f>IFERROR(IF(Coordenadores6[[#This Row],[Coordenador]]="Raianne",IF($C$2=$AE$5,(IF(Coordenadores6[[#This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Premiação'!$Z$4:$AC$6,2,0),0)))),IF($C$1=$AE$5,(IF(Coordenadores6[[#This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Premiação'!$Z$4:$AC$6,2,0),0))))*2,IF(Coordenadores6[[#This Row],[% Avi]]&gt;=115%,VLOOKUP(Coordenadores6[[#This Row],[Nível]],'Regras Premiação'!$Z$4:$AC$6,4,0),IF(Coordenadores6[[#This Row],[% Avi]]&gt;=100%,VLOOKUP(Coordenadores6[[#This Row],[Nível]],'Regras Premiação'!$Z$4:$AC$6,3,0),IF(Coordenadores6[[#This Row],[% Avi]]&gt;=90%,VLOOKUP(Coordenadores6[[#This Row],[Nível]],'Regras Premiação'!$Z$4:$AC$6,2,0),0))))),0)</f>
        <v>0</v>
      </c>
      <c r="AF12" s="61">
        <f>IFERROR(VLOOKUP(Coordenadores6[[#This Row],[Coordenador]],#REF!,2,0)/VLOOKUP(Coordenadores6[[#This Row],[Coordenador]],#REF!,4,0),0)</f>
        <v>0</v>
      </c>
      <c r="AG12" s="70">
        <f>IFERROR(IF(Coordenadores6[[#This Row],[Coordenador]]="Raianne",IF($C$2=$AG$5,(IF(Coordenadores6[[#This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Premiação'!$Z$4:$AC$6,2,0),0)))),IF($C$1=$AG$5,(IF(Coordenadores6[[#This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Premiação'!$Z$4:$AC$6,2,0),0))))*2,IF(Coordenadores6[[#This Row],[% Capp]]&gt;=115%,VLOOKUP(Coordenadores6[[#This Row],[Nível]],'Regras Premiação'!$Z$4:$AC$6,4,0),IF(Coordenadores6[[#This Row],[% Capp]]&gt;=100%,VLOOKUP(Coordenadores6[[#This Row],[Nível]],'Regras Premiação'!$Z$4:$AC$6,3,0),IF(Coordenadores6[[#This Row],[% Capp]]&gt;=90%,VLOOKUP(Coordenadores6[[#This Row],[Nível]],'Regras Premiação'!$Z$4:$AC$6,2,0),0))))),0)</f>
        <v>0</v>
      </c>
      <c r="AH12" s="61">
        <f>IFERROR(VLOOKUP(Coordenadores6[[#This Row],[Coordenador]],#REF!,2,0)/VLOOKUP(Coordenadores6[[#This Row],[Coordenador]],#REF!,4,0),0)</f>
        <v>0</v>
      </c>
      <c r="AI12" s="70">
        <f>IFERROR(IF(Coordenadores6[[#This Row],[Coordenador]]="Raianne",IF($C$2=$AI$5,(IF(Coordenadores6[[#This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Premiação'!$Z$4:$AC$6,2,0),0)))),IF($C$1=$AI$5,(IF(Coordenadores6[[#This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Premiação'!$Z$4:$AC$6,2,0),0))))*2,IF(Coordenadores6[[#This Row],[% Fam]]&gt;=115%,VLOOKUP(Coordenadores6[[#This Row],[Nível]],'Regras Premiação'!$Z$4:$AC$6,4,0),IF(Coordenadores6[[#This Row],[% Fam]]&gt;=100%,VLOOKUP(Coordenadores6[[#This Row],[Nível]],'Regras Premiação'!$Z$4:$AC$6,3,0),IF(Coordenadores6[[#This Row],[% Fam]]&gt;=90%,VLOOKUP(Coordenadores6[[#This Row],[Nível]],'Regras Premiação'!$Z$4:$AC$6,2,0),0))))),0)</f>
        <v>0</v>
      </c>
      <c r="AJ12" s="61">
        <f>IFERROR(VLOOKUP(Coordenadores6[[#This Row],[Coordenador]],#REF!,2,0)/VLOOKUP(Coordenadores6[[#This Row],[Coordenador]],#REF!,4,0),0)</f>
        <v>0</v>
      </c>
      <c r="AK12" s="70">
        <f>IFERROR(IF(Coordenadores6[[#This Row],[Coordenador]]="Raianne",IF($C$2=$AK$5,(IF(Coordenadores6[[#This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Premiação'!$Z$4:$AC$6,2,0),0)))),IF($C$1=$AK$5,(IF(Coordenadores6[[#This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Premiação'!$Z$4:$AC$6,2,0),0))))*2,IF(Coordenadores6[[#This Row],[% S&amp;V]]&gt;=115%,VLOOKUP(Coordenadores6[[#This Row],[Nível]],'Regras Premiação'!$Z$4:$AC$6,4,0),IF(Coordenadores6[[#This Row],[% S&amp;V]]&gt;=100%,VLOOKUP(Coordenadores6[[#This Row],[Nível]],'Regras Premiação'!$Z$4:$AC$6,3,0),IF(Coordenadores6[[#This Row],[% S&amp;V]]&gt;=90%,VLOOKUP(Coordenadores6[[#This Row],[Nível]],'Regras Premiação'!$Z$4:$AC$6,2,0),0))))),0)</f>
        <v>0</v>
      </c>
      <c r="AL12" s="70">
        <f>IF(Coordenadores6[[#This Row],[Sell Out]]=0,0,IF($H$2&gt;=115%,300,IF($H$2&gt;=100%,200,IF($H$2&gt;=90%,100,0))))</f>
        <v>0</v>
      </c>
      <c r="AM12" s="70">
        <v>300</v>
      </c>
      <c r="AN12" s="61">
        <f>IFERROR(IFERROR(VLOOKUP(Coordenadores6[[#This Row],[Coordenador]],#REF!,6,0),0)/IFERROR(VLOOKUP(Coordenadores6[[#This Row],[Coordenador]],#REF!,5,0),0),0)</f>
        <v>0</v>
      </c>
      <c r="AO12" s="70">
        <f>IF(AND(Coordenadores6[[#This Row],[% Dev]]&lt;=1%,Coordenadores6[[#This Row],[% Dev]]&lt;&gt;0),225,0)</f>
        <v>0</v>
      </c>
      <c r="AP12" s="70">
        <f>SUM(Coordenadores6[[#This Row],[R$ Avi]],Coordenadores6[[#This Row],[R$ Capp]],Coordenadores6[[#This Row],[R$ Fam]],Coordenadores6[[#This Row],[R$ S&amp;V]],Coordenadores6[[#This Row],[Master]],Coordenadores6[[#This Row],[Gestor]],Coordenadores6[[#This Row],[R$ Dev]])</f>
        <v>300</v>
      </c>
    </row>
    <row r="13" spans="1:42" x14ac:dyDescent="0.3">
      <c r="A13" s="1" t="s">
        <v>65</v>
      </c>
      <c r="B13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3" s="1" t="str">
        <f>IF(Promotores5[[#This Row],[Sell Out]]&gt;=300000,"A+",IF(Promotores5[[#This Row],[Sell Out]]&gt;=260000,"A",IF(Promotores5[[#This Row],[Sell Out]]&gt;=200000,"B","C")))</f>
        <v>C</v>
      </c>
      <c r="D13" s="61">
        <f>IFERROR(IFERROR(VLOOKUP(Promotores5[[#This Row],[Promotor]],#REF!,2,0),0)/IFERROR(VLOOKUP(Promotores5[[#This Row],[Promotor]],#REF!,4,0),0),0)</f>
        <v>0</v>
      </c>
      <c r="E13" s="70">
        <f>IFERROR(IF(OR(VLOOKUP(A13,Rotas[[PROMOTOR]:[REGIONAL]],2,0)="Pará Sul",VLOOKUP(A13,Rotas[[PROMOTOR]:[REGIONAL]],2,0)="Pará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3" s="61">
        <f>IFERROR(IFERROR(VLOOKUP(Promotores5[[#This Row],[Promotor]],#REF!,2,0),0)/IFERROR(VLOOKUP(Promotores5[[#This Row],[Promotor]],#REF!,4,0),0),0)</f>
        <v>0</v>
      </c>
      <c r="G13" s="70">
        <f>IFERROR(IF(OR(VLOOKUP(A13,Rotas[[PROMOTOR]:[REGIONAL]],2,0)="Pará Sul",VLOOKUP(A13,Rotas[[PROMOTOR]:[REGIONAL]],2,0)="Pará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3" s="61">
        <f>IFERROR(IFERROR(VLOOKUP(Promotores5[[#This Row],[Promotor]],#REF!,2,0),0)/IFERROR(VLOOKUP(Promotores5[[#This Row],[Promotor]],#REF!,4,0),0),0)</f>
        <v>0</v>
      </c>
      <c r="I13" s="70">
        <f>IFERROR(IF(OR(VLOOKUP(A13,Rotas[[PROMOTOR]:[REGIONAL]],2,0)="Pará Sul",VLOOKUP(A13,Rotas[[PROMOTOR]:[REGIONAL]],2,0)="Pará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3" s="61">
        <f>IFERROR(IFERROR(VLOOKUP(Promotores5[[#This Row],[Promotor]],#REF!,2,0),0)/IFERROR(VLOOKUP(Promotores5[[#This Row],[Promotor]],#REF!,4,0),0),0)</f>
        <v>0</v>
      </c>
      <c r="K13" s="70">
        <f>IFERROR(IF(OR(VLOOKUP(A13,Rotas[[PROMOTOR]:[REGIONAL]],2,0)="Pará Sul",VLOOKUP(A13,Rotas[[PROMOTOR]:[REGIONAL]],2,0)="Pará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3" s="61">
        <v>1</v>
      </c>
      <c r="M13" s="70">
        <f>IFERROR(IF(OR(VLOOKUP(A13,Rotas[[PROMOTOR]:[REGIONAL]],2,0)="Pará Sul",VLOOKUP(A13,Rotas[[PROMOTOR]:[REGIONAL]],2,0)="Pará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13" s="70">
        <f>IF(Promotores5[[#This Row],[Sell Out]]=0,0,IF($H$2&gt;=115%,225,IF($H$2&gt;=100%,150,IF($H$2&gt;=90%,75,0))))</f>
        <v>0</v>
      </c>
      <c r="O13" s="70">
        <v>145</v>
      </c>
      <c r="P13" s="75">
        <f>IFERROR(IFERROR(VLOOKUP(Promotores5[[#This Row],[Promotor]],#REF!,6,0),0)/IFERROR(VLOOKUP(Promotores5[[#This Row],[Promotor]],#REF!,5,0),0),0)</f>
        <v>0</v>
      </c>
      <c r="Q13" s="70">
        <f t="shared" si="0"/>
        <v>0</v>
      </c>
      <c r="R13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245</v>
      </c>
      <c r="T13" s="97">
        <v>695</v>
      </c>
      <c r="V13" s="99">
        <f>(Promotores5[[#This Row],[Total+Treb]]/T13)-1</f>
        <v>-0.64748201438848918</v>
      </c>
      <c r="X13" s="97">
        <f>Promotores5[[#This Row],[Total+Treb]]-T13</f>
        <v>-450</v>
      </c>
    </row>
    <row r="14" spans="1:42" x14ac:dyDescent="0.3">
      <c r="A14" s="1" t="s">
        <v>66</v>
      </c>
      <c r="B14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4" s="1" t="str">
        <f>IF(Promotores5[[#This Row],[Sell Out]]&gt;=300000,"A+",IF(Promotores5[[#This Row],[Sell Out]]&gt;=260000,"A",IF(Promotores5[[#This Row],[Sell Out]]&gt;=200000,"B","C")))</f>
        <v>C</v>
      </c>
      <c r="D14" s="61">
        <f>IFERROR(IFERROR(VLOOKUP(Promotores5[[#This Row],[Promotor]],#REF!,2,0),0)/IFERROR(VLOOKUP(Promotores5[[#This Row],[Promotor]],#REF!,4,0),0),0)</f>
        <v>0</v>
      </c>
      <c r="E14" s="70">
        <f>IFERROR(IF(OR(VLOOKUP(A14,Rotas[[PROMOTOR]:[REGIONAL]],2,0)="Pará Sul",VLOOKUP(A14,Rotas[[PROMOTOR]:[REGIONAL]],2,0)="Pará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4" s="61">
        <f>IFERROR(IFERROR(VLOOKUP(Promotores5[[#This Row],[Promotor]],#REF!,2,0),0)/IFERROR(VLOOKUP(Promotores5[[#This Row],[Promotor]],#REF!,4,0),0),0)</f>
        <v>0</v>
      </c>
      <c r="G14" s="70">
        <f>IFERROR(IF(OR(VLOOKUP(A14,Rotas[[PROMOTOR]:[REGIONAL]],2,0)="Pará Sul",VLOOKUP(A14,Rotas[[PROMOTOR]:[REGIONAL]],2,0)="Pará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4" s="61">
        <f>IFERROR(IFERROR(VLOOKUP(Promotores5[[#This Row],[Promotor]],#REF!,2,0),0)/IFERROR(VLOOKUP(Promotores5[[#This Row],[Promotor]],#REF!,4,0),0),0)</f>
        <v>0</v>
      </c>
      <c r="I14" s="70">
        <f>IFERROR(IF(OR(VLOOKUP(A14,Rotas[[PROMOTOR]:[REGIONAL]],2,0)="Pará Sul",VLOOKUP(A14,Rotas[[PROMOTOR]:[REGIONAL]],2,0)="Pará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4" s="61">
        <f>IFERROR(IFERROR(VLOOKUP(Promotores5[[#This Row],[Promotor]],#REF!,2,0),0)/IFERROR(VLOOKUP(Promotores5[[#This Row],[Promotor]],#REF!,4,0),0),0)</f>
        <v>0</v>
      </c>
      <c r="K14" s="70">
        <f>IFERROR(IF(OR(VLOOKUP(A14,Rotas[[PROMOTOR]:[REGIONAL]],2,0)="Pará Sul",VLOOKUP(A14,Rotas[[PROMOTOR]:[REGIONAL]],2,0)="Pará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4" s="61">
        <v>1</v>
      </c>
      <c r="M14" s="70">
        <f>IFERROR(IF(OR(VLOOKUP(A14,Rotas[[PROMOTOR]:[REGIONAL]],2,0)="Pará Sul",VLOOKUP(A14,Rotas[[PROMOTOR]:[REGIONAL]],2,0)="Pará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14" s="70">
        <f>IF(Promotores5[[#This Row],[Sell Out]]=0,0,IF($H$2&gt;=115%,225,IF($H$2&gt;=100%,150,IF($H$2&gt;=90%,75,0))))</f>
        <v>0</v>
      </c>
      <c r="O14" s="70">
        <v>170</v>
      </c>
      <c r="P14" s="75">
        <f>IFERROR(IFERROR(VLOOKUP(Promotores5[[#This Row],[Promotor]],#REF!,6,0),0)/IFERROR(VLOOKUP(Promotores5[[#This Row],[Promotor]],#REF!,5,0),0),0)</f>
        <v>0</v>
      </c>
      <c r="Q14" s="70">
        <f t="shared" si="0"/>
        <v>0</v>
      </c>
      <c r="R14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270</v>
      </c>
      <c r="T14" s="96">
        <v>695</v>
      </c>
      <c r="V14" s="98">
        <f>(Promotores5[[#This Row],[Total+Treb]]/T14)-1</f>
        <v>-0.61151079136690645</v>
      </c>
      <c r="X14" s="96">
        <f>Promotores5[[#This Row],[Total+Treb]]-T14</f>
        <v>-425</v>
      </c>
    </row>
    <row r="15" spans="1:42" x14ac:dyDescent="0.3">
      <c r="A15" s="1" t="s">
        <v>67</v>
      </c>
      <c r="B15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5" s="1" t="str">
        <f>IF(Promotores5[[#This Row],[Sell Out]]&gt;=300000,"A+",IF(Promotores5[[#This Row],[Sell Out]]&gt;=260000,"A",IF(Promotores5[[#This Row],[Sell Out]]&gt;=200000,"B","C")))</f>
        <v>C</v>
      </c>
      <c r="D15" s="61">
        <f>IFERROR(IFERROR(VLOOKUP(Promotores5[[#This Row],[Promotor]],#REF!,2,0),0)/IFERROR(VLOOKUP(Promotores5[[#This Row],[Promotor]],#REF!,4,0),0),0)</f>
        <v>0</v>
      </c>
      <c r="E15" s="70">
        <f>IFERROR(IF(OR(VLOOKUP(A15,Rotas[[PROMOTOR]:[REGIONAL]],2,0)="Pará Sul",VLOOKUP(A15,Rotas[[PROMOTOR]:[REGIONAL]],2,0)="Pará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5" s="61">
        <f>IFERROR(IFERROR(VLOOKUP(Promotores5[[#This Row],[Promotor]],#REF!,2,0),0)/IFERROR(VLOOKUP(Promotores5[[#This Row],[Promotor]],#REF!,4,0),0),0)</f>
        <v>0</v>
      </c>
      <c r="G15" s="70">
        <f>IFERROR(IF(OR(VLOOKUP(A15,Rotas[[PROMOTOR]:[REGIONAL]],2,0)="Pará Sul",VLOOKUP(A15,Rotas[[PROMOTOR]:[REGIONAL]],2,0)="Pará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5" s="61">
        <f>IFERROR(IFERROR(VLOOKUP(Promotores5[[#This Row],[Promotor]],#REF!,2,0),0)/IFERROR(VLOOKUP(Promotores5[[#This Row],[Promotor]],#REF!,4,0),0),0)</f>
        <v>0</v>
      </c>
      <c r="I15" s="70">
        <f>IFERROR(IF(OR(VLOOKUP(A15,Rotas[[PROMOTOR]:[REGIONAL]],2,0)="Pará Sul",VLOOKUP(A15,Rotas[[PROMOTOR]:[REGIONAL]],2,0)="Pará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5" s="61">
        <f>IFERROR(IFERROR(VLOOKUP(Promotores5[[#This Row],[Promotor]],#REF!,2,0),0)/IFERROR(VLOOKUP(Promotores5[[#This Row],[Promotor]],#REF!,4,0),0),0)</f>
        <v>0</v>
      </c>
      <c r="K15" s="70">
        <f>IFERROR(IF(OR(VLOOKUP(A15,Rotas[[PROMOTOR]:[REGIONAL]],2,0)="Pará Sul",VLOOKUP(A15,Rotas[[PROMOTOR]:[REGIONAL]],2,0)="Pará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5" s="61">
        <v>1</v>
      </c>
      <c r="M15" s="70">
        <f>IFERROR(IF(OR(VLOOKUP(A15,Rotas[[PROMOTOR]:[REGIONAL]],2,0)="Pará Sul",VLOOKUP(A15,Rotas[[PROMOTOR]:[REGIONAL]],2,0)="Pará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15" s="70">
        <f>IF(Promotores5[[#This Row],[Sell Out]]=0,0,IF($H$2&gt;=115%,225,IF($H$2&gt;=100%,150,IF($H$2&gt;=90%,75,0))))</f>
        <v>0</v>
      </c>
      <c r="O15" s="70">
        <v>190</v>
      </c>
      <c r="P15" s="75">
        <f>IFERROR(IFERROR(VLOOKUP(Promotores5[[#This Row],[Promotor]],#REF!,6,0),0)/IFERROR(VLOOKUP(Promotores5[[#This Row],[Promotor]],#REF!,5,0),0),0)</f>
        <v>0</v>
      </c>
      <c r="Q15" s="70">
        <f t="shared" si="0"/>
        <v>0</v>
      </c>
      <c r="R15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190</v>
      </c>
      <c r="T15" s="97">
        <v>770</v>
      </c>
      <c r="V15" s="99">
        <f>(Promotores5[[#This Row],[Total+Treb]]/T15)-1</f>
        <v>-0.75324675324675328</v>
      </c>
      <c r="X15" s="97">
        <f>Promotores5[[#This Row],[Total+Treb]]-T15</f>
        <v>-580</v>
      </c>
    </row>
    <row r="16" spans="1:42" x14ac:dyDescent="0.3">
      <c r="A16" s="1" t="s">
        <v>68</v>
      </c>
      <c r="B16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6" s="1" t="str">
        <f>IF(Promotores5[[#This Row],[Sell Out]]&gt;=300000,"A+",IF(Promotores5[[#This Row],[Sell Out]]&gt;=260000,"A",IF(Promotores5[[#This Row],[Sell Out]]&gt;=200000,"B","C")))</f>
        <v>C</v>
      </c>
      <c r="D16" s="61">
        <f>IFERROR(IFERROR(VLOOKUP(Promotores5[[#This Row],[Promotor]],#REF!,2,0),0)/IFERROR(VLOOKUP(Promotores5[[#This Row],[Promotor]],#REF!,4,0),0),0)</f>
        <v>0</v>
      </c>
      <c r="E16" s="70">
        <f>IFERROR(IF(OR(VLOOKUP(A16,Rotas[[PROMOTOR]:[REGIONAL]],2,0)="Pará Sul",VLOOKUP(A16,Rotas[[PROMOTOR]:[REGIONAL]],2,0)="Pará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6" s="61">
        <f>IFERROR(IFERROR(VLOOKUP(Promotores5[[#This Row],[Promotor]],#REF!,2,0),0)/IFERROR(VLOOKUP(Promotores5[[#This Row],[Promotor]],#REF!,4,0),0),0)</f>
        <v>0</v>
      </c>
      <c r="G16" s="70">
        <f>IFERROR(IF(OR(VLOOKUP(A16,Rotas[[PROMOTOR]:[REGIONAL]],2,0)="Pará Sul",VLOOKUP(A16,Rotas[[PROMOTOR]:[REGIONAL]],2,0)="Pará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6" s="61">
        <f>IFERROR(IFERROR(VLOOKUP(Promotores5[[#This Row],[Promotor]],#REF!,2,0),0)/IFERROR(VLOOKUP(Promotores5[[#This Row],[Promotor]],#REF!,4,0),0),0)</f>
        <v>0</v>
      </c>
      <c r="I16" s="70">
        <f>IFERROR(IF(OR(VLOOKUP(A16,Rotas[[PROMOTOR]:[REGIONAL]],2,0)="Pará Sul",VLOOKUP(A16,Rotas[[PROMOTOR]:[REGIONAL]],2,0)="Pará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6" s="61">
        <f>IFERROR(IFERROR(VLOOKUP(Promotores5[[#This Row],[Promotor]],#REF!,2,0),0)/IFERROR(VLOOKUP(Promotores5[[#This Row],[Promotor]],#REF!,4,0),0),0)</f>
        <v>0</v>
      </c>
      <c r="K16" s="70">
        <f>IFERROR(IF(OR(VLOOKUP(A16,Rotas[[PROMOTOR]:[REGIONAL]],2,0)="Pará Sul",VLOOKUP(A16,Rotas[[PROMOTOR]:[REGIONAL]],2,0)="Pará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6" s="61">
        <v>1</v>
      </c>
      <c r="M16" s="70">
        <f>IFERROR(IF(OR(VLOOKUP(A16,Rotas[[PROMOTOR]:[REGIONAL]],2,0)="Pará Sul",VLOOKUP(A16,Rotas[[PROMOTOR]:[REGIONAL]],2,0)="Pará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16" s="70">
        <f>IF(Promotores5[[#This Row],[Sell Out]]=0,0,IF($H$2&gt;=115%,225,IF($H$2&gt;=100%,150,IF($H$2&gt;=90%,75,0))))</f>
        <v>0</v>
      </c>
      <c r="O16" s="70">
        <v>225</v>
      </c>
      <c r="P16" s="75">
        <f>IFERROR(IFERROR(VLOOKUP(Promotores5[[#This Row],[Promotor]],#REF!,6,0),0)/IFERROR(VLOOKUP(Promotores5[[#This Row],[Promotor]],#REF!,5,0),0),0)</f>
        <v>0</v>
      </c>
      <c r="Q16" s="70">
        <f t="shared" si="0"/>
        <v>0</v>
      </c>
      <c r="R16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325</v>
      </c>
      <c r="T16" s="96">
        <v>425</v>
      </c>
      <c r="V16" s="98">
        <f>(Promotores5[[#This Row],[Total+Treb]]/T16)-1</f>
        <v>-0.23529411764705888</v>
      </c>
      <c r="X16" s="96">
        <f>Promotores5[[#This Row],[Total+Treb]]-T16</f>
        <v>-100</v>
      </c>
    </row>
    <row r="17" spans="1:24" x14ac:dyDescent="0.3">
      <c r="A17" s="1" t="s">
        <v>69</v>
      </c>
      <c r="B17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7" s="1" t="str">
        <f>IF(Promotores5[[#This Row],[Sell Out]]&gt;=300000,"A+",IF(Promotores5[[#This Row],[Sell Out]]&gt;=260000,"A",IF(Promotores5[[#This Row],[Sell Out]]&gt;=200000,"B","C")))</f>
        <v>C</v>
      </c>
      <c r="D17" s="61">
        <f>IFERROR(IFERROR(VLOOKUP(Promotores5[[#This Row],[Promotor]],#REF!,2,0),0)/IFERROR(VLOOKUP(Promotores5[[#This Row],[Promotor]],#REF!,4,0),0),0)</f>
        <v>0</v>
      </c>
      <c r="E17" s="70">
        <f>IFERROR(IF(OR(VLOOKUP(A17,Rotas[[PROMOTOR]:[REGIONAL]],2,0)="Pará Sul",VLOOKUP(A17,Rotas[[PROMOTOR]:[REGIONAL]],2,0)="Pará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7" s="61">
        <f>IFERROR(IFERROR(VLOOKUP(Promotores5[[#This Row],[Promotor]],#REF!,2,0),0)/IFERROR(VLOOKUP(Promotores5[[#This Row],[Promotor]],#REF!,4,0),0),0)</f>
        <v>0</v>
      </c>
      <c r="G17" s="70">
        <f>IFERROR(IF(OR(VLOOKUP(A17,Rotas[[PROMOTOR]:[REGIONAL]],2,0)="Pará Sul",VLOOKUP(A17,Rotas[[PROMOTOR]:[REGIONAL]],2,0)="Pará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7" s="61">
        <f>IFERROR(IFERROR(VLOOKUP(Promotores5[[#This Row],[Promotor]],#REF!,2,0),0)/IFERROR(VLOOKUP(Promotores5[[#This Row],[Promotor]],#REF!,4,0),0),0)</f>
        <v>0</v>
      </c>
      <c r="I17" s="70">
        <f>IFERROR(IF(OR(VLOOKUP(A17,Rotas[[PROMOTOR]:[REGIONAL]],2,0)="Pará Sul",VLOOKUP(A17,Rotas[[PROMOTOR]:[REGIONAL]],2,0)="Pará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7" s="61">
        <f>IFERROR(IFERROR(VLOOKUP(Promotores5[[#This Row],[Promotor]],#REF!,2,0),0)/IFERROR(VLOOKUP(Promotores5[[#This Row],[Promotor]],#REF!,4,0),0),0)</f>
        <v>0</v>
      </c>
      <c r="K17" s="70">
        <f>IFERROR(IF(OR(VLOOKUP(A17,Rotas[[PROMOTOR]:[REGIONAL]],2,0)="Pará Sul",VLOOKUP(A17,Rotas[[PROMOTOR]:[REGIONAL]],2,0)="Pará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7" s="61">
        <v>1</v>
      </c>
      <c r="M17" s="70">
        <f>IFERROR(IF(OR(VLOOKUP(A17,Rotas[[PROMOTOR]:[REGIONAL]],2,0)="Pará Sul",VLOOKUP(A17,Rotas[[PROMOTOR]:[REGIONAL]],2,0)="Pará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17" s="70">
        <f>IF(Promotores5[[#This Row],[Sell Out]]=0,0,IF($H$2&gt;=115%,225,IF($H$2&gt;=100%,150,IF($H$2&gt;=90%,75,0))))</f>
        <v>0</v>
      </c>
      <c r="O17" s="70">
        <v>203.75</v>
      </c>
      <c r="P17" s="75">
        <f>IFERROR(IFERROR(VLOOKUP(Promotores5[[#This Row],[Promotor]],#REF!,6,0),0)/IFERROR(VLOOKUP(Promotores5[[#This Row],[Promotor]],#REF!,5,0),0),0)</f>
        <v>0</v>
      </c>
      <c r="Q17" s="70">
        <f t="shared" si="0"/>
        <v>0</v>
      </c>
      <c r="R17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203.75</v>
      </c>
      <c r="T17" s="97">
        <v>378.75</v>
      </c>
      <c r="V17" s="99">
        <f>(Promotores5[[#This Row],[Total+Treb]]/T17)-1</f>
        <v>-0.46204620462046209</v>
      </c>
      <c r="X17" s="97">
        <f>Promotores5[[#This Row],[Total+Treb]]-T17</f>
        <v>-175</v>
      </c>
    </row>
    <row r="18" spans="1:24" x14ac:dyDescent="0.3">
      <c r="A18" s="1" t="s">
        <v>20</v>
      </c>
      <c r="B18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8" s="1" t="str">
        <f>IF(Promotores5[[#This Row],[Sell Out]]&gt;=300000,"A+",IF(Promotores5[[#This Row],[Sell Out]]&gt;=260000,"A",IF(Promotores5[[#This Row],[Sell Out]]&gt;=200000,"B","C")))</f>
        <v>C</v>
      </c>
      <c r="D18" s="61">
        <f>IFERROR(IFERROR(VLOOKUP(Promotores5[[#This Row],[Promotor]],#REF!,2,0),0)/IFERROR(VLOOKUP(Promotores5[[#This Row],[Promotor]],#REF!,4,0),0),0)</f>
        <v>0</v>
      </c>
      <c r="E18" s="70">
        <f>IFERROR(IF(OR(VLOOKUP(A18,Rotas[[PROMOTOR]:[REGIONAL]],2,0)="Pará Sul",VLOOKUP(A18,Rotas[[PROMOTOR]:[REGIONAL]],2,0)="Pará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8" s="61">
        <f>IFERROR(IFERROR(VLOOKUP(Promotores5[[#This Row],[Promotor]],#REF!,2,0),0)/IFERROR(VLOOKUP(Promotores5[[#This Row],[Promotor]],#REF!,4,0),0),0)</f>
        <v>0</v>
      </c>
      <c r="G18" s="70">
        <f>IFERROR(IF(OR(VLOOKUP(A18,Rotas[[PROMOTOR]:[REGIONAL]],2,0)="Pará Sul",VLOOKUP(A18,Rotas[[PROMOTOR]:[REGIONAL]],2,0)="Pará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8" s="61">
        <f>IFERROR(IFERROR(VLOOKUP(Promotores5[[#This Row],[Promotor]],#REF!,2,0),0)/IFERROR(VLOOKUP(Promotores5[[#This Row],[Promotor]],#REF!,4,0),0),0)</f>
        <v>0</v>
      </c>
      <c r="I18" s="70">
        <f>IFERROR(IF(OR(VLOOKUP(A18,Rotas[[PROMOTOR]:[REGIONAL]],2,0)="Pará Sul",VLOOKUP(A18,Rotas[[PROMOTOR]:[REGIONAL]],2,0)="Pará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8" s="61">
        <f>IFERROR(IFERROR(VLOOKUP(Promotores5[[#This Row],[Promotor]],#REF!,2,0),0)/IFERROR(VLOOKUP(Promotores5[[#This Row],[Promotor]],#REF!,4,0),0),0)</f>
        <v>0</v>
      </c>
      <c r="K18" s="70">
        <f>IFERROR(IF(OR(VLOOKUP(A18,Rotas[[PROMOTOR]:[REGIONAL]],2,0)="Pará Sul",VLOOKUP(A18,Rotas[[PROMOTOR]:[REGIONAL]],2,0)="Pará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8" s="61">
        <v>1</v>
      </c>
      <c r="M18" s="70">
        <f>IFERROR(IF(OR(VLOOKUP(A18,Rotas[[PROMOTOR]:[REGIONAL]],2,0)="Pará Sul",VLOOKUP(A18,Rotas[[PROMOTOR]:[REGIONAL]],2,0)="Pará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18" s="70">
        <f>IF(Promotores5[[#This Row],[Sell Out]]=0,0,IF($H$2&gt;=115%,225,IF($H$2&gt;=100%,150,IF($H$2&gt;=90%,75,0))))</f>
        <v>0</v>
      </c>
      <c r="O18" s="70">
        <v>165</v>
      </c>
      <c r="P18" s="75">
        <f>IFERROR(IFERROR(VLOOKUP(Promotores5[[#This Row],[Promotor]],#REF!,6,0),0)/IFERROR(VLOOKUP(Promotores5[[#This Row],[Promotor]],#REF!,5,0),0),0)</f>
        <v>0</v>
      </c>
      <c r="Q18" s="70">
        <f t="shared" si="0"/>
        <v>0</v>
      </c>
      <c r="R18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165</v>
      </c>
      <c r="T18" s="96">
        <v>555</v>
      </c>
      <c r="V18" s="98">
        <f>(Promotores5[[#This Row],[Total+Treb]]/T18)-1</f>
        <v>-0.70270270270270263</v>
      </c>
      <c r="X18" s="96">
        <f>Promotores5[[#This Row],[Total+Treb]]-T18</f>
        <v>-390</v>
      </c>
    </row>
    <row r="19" spans="1:24" x14ac:dyDescent="0.3">
      <c r="A19" s="1" t="s">
        <v>70</v>
      </c>
      <c r="B19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19" s="1" t="str">
        <f>IF(Promotores5[[#This Row],[Sell Out]]&gt;=300000,"A+",IF(Promotores5[[#This Row],[Sell Out]]&gt;=260000,"A",IF(Promotores5[[#This Row],[Sell Out]]&gt;=200000,"B","C")))</f>
        <v>C</v>
      </c>
      <c r="D19" s="61">
        <f>IFERROR(IFERROR(VLOOKUP(Promotores5[[#This Row],[Promotor]],#REF!,2,0),0)/IFERROR(VLOOKUP(Promotores5[[#This Row],[Promotor]],#REF!,4,0),0),0)</f>
        <v>0</v>
      </c>
      <c r="E19" s="70">
        <f>IFERROR(IF(OR(VLOOKUP(A19,Rotas[[PROMOTOR]:[REGIONAL]],2,0)="Pará Sul",VLOOKUP(A19,Rotas[[PROMOTOR]:[REGIONAL]],2,0)="Pará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19" s="61">
        <f>IFERROR(IFERROR(VLOOKUP(Promotores5[[#This Row],[Promotor]],#REF!,2,0),0)/IFERROR(VLOOKUP(Promotores5[[#This Row],[Promotor]],#REF!,4,0),0),0)</f>
        <v>0</v>
      </c>
      <c r="G19" s="70">
        <f>IFERROR(IF(OR(VLOOKUP(A19,Rotas[[PROMOTOR]:[REGIONAL]],2,0)="Pará Sul",VLOOKUP(A19,Rotas[[PROMOTOR]:[REGIONAL]],2,0)="Pará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19" s="61">
        <f>IFERROR(IFERROR(VLOOKUP(Promotores5[[#This Row],[Promotor]],#REF!,2,0),0)/IFERROR(VLOOKUP(Promotores5[[#This Row],[Promotor]],#REF!,4,0),0),0)</f>
        <v>0</v>
      </c>
      <c r="I19" s="70">
        <f>IFERROR(IF(OR(VLOOKUP(A19,Rotas[[PROMOTOR]:[REGIONAL]],2,0)="Pará Sul",VLOOKUP(A19,Rotas[[PROMOTOR]:[REGIONAL]],2,0)="Pará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19" s="61">
        <f>IFERROR(IFERROR(VLOOKUP(Promotores5[[#This Row],[Promotor]],#REF!,2,0),0)/IFERROR(VLOOKUP(Promotores5[[#This Row],[Promotor]],#REF!,4,0),0),0)</f>
        <v>0</v>
      </c>
      <c r="K19" s="70">
        <f>IFERROR(IF(OR(VLOOKUP(A19,Rotas[[PROMOTOR]:[REGIONAL]],2,0)="Pará Sul",VLOOKUP(A19,Rotas[[PROMOTOR]:[REGIONAL]],2,0)="Pará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19" s="61">
        <v>1</v>
      </c>
      <c r="M19" s="70">
        <f>IFERROR(IF(OR(VLOOKUP(A19,Rotas[[PROMOTOR]:[REGIONAL]],2,0)="Pará Sul",VLOOKUP(A19,Rotas[[PROMOTOR]:[REGIONAL]],2,0)="Pará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19" s="70">
        <f>IF(Promotores5[[#This Row],[Sell Out]]=0,0,IF($H$2&gt;=115%,225,IF($H$2&gt;=100%,150,IF($H$2&gt;=90%,75,0))))</f>
        <v>0</v>
      </c>
      <c r="O19" s="70">
        <v>180</v>
      </c>
      <c r="P19" s="75">
        <f>IFERROR(IFERROR(VLOOKUP(Promotores5[[#This Row],[Promotor]],#REF!,6,0),0)/IFERROR(VLOOKUP(Promotores5[[#This Row],[Promotor]],#REF!,5,0),0),0)</f>
        <v>0</v>
      </c>
      <c r="Q19" s="70">
        <f t="shared" si="0"/>
        <v>0</v>
      </c>
      <c r="R19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280</v>
      </c>
      <c r="T19" s="97">
        <v>255</v>
      </c>
      <c r="V19" s="99">
        <f>(Promotores5[[#This Row],[Total+Treb]]/T19)-1</f>
        <v>9.8039215686274606E-2</v>
      </c>
      <c r="X19" s="97">
        <f>Promotores5[[#This Row],[Total+Treb]]-T19</f>
        <v>25</v>
      </c>
    </row>
    <row r="20" spans="1:24" x14ac:dyDescent="0.3">
      <c r="A20" s="1" t="s">
        <v>71</v>
      </c>
      <c r="B20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0" s="1" t="str">
        <f>IF(Promotores5[[#This Row],[Sell Out]]&gt;=300000,"A+",IF(Promotores5[[#This Row],[Sell Out]]&gt;=260000,"A",IF(Promotores5[[#This Row],[Sell Out]]&gt;=200000,"B","C")))</f>
        <v>C</v>
      </c>
      <c r="D20" s="61">
        <f>IFERROR(IFERROR(VLOOKUP(Promotores5[[#This Row],[Promotor]],#REF!,2,0),0)/IFERROR(VLOOKUP(Promotores5[[#This Row],[Promotor]],#REF!,4,0),0),0)</f>
        <v>0</v>
      </c>
      <c r="E20" s="70">
        <f>IFERROR(IF(OR(VLOOKUP(A20,Rotas[[PROMOTOR]:[REGIONAL]],2,0)="Pará Sul",VLOOKUP(A20,Rotas[[PROMOTOR]:[REGIONAL]],2,0)="Pará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0" s="61">
        <f>IFERROR(IFERROR(VLOOKUP(Promotores5[[#This Row],[Promotor]],#REF!,2,0),0)/IFERROR(VLOOKUP(Promotores5[[#This Row],[Promotor]],#REF!,4,0),0),0)</f>
        <v>0</v>
      </c>
      <c r="G20" s="70">
        <f>IFERROR(IF(OR(VLOOKUP(A20,Rotas[[PROMOTOR]:[REGIONAL]],2,0)="Pará Sul",VLOOKUP(A20,Rotas[[PROMOTOR]:[REGIONAL]],2,0)="Pará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0" s="61">
        <f>IFERROR(IFERROR(VLOOKUP(Promotores5[[#This Row],[Promotor]],#REF!,2,0),0)/IFERROR(VLOOKUP(Promotores5[[#This Row],[Promotor]],#REF!,4,0),0),0)</f>
        <v>0</v>
      </c>
      <c r="I20" s="70">
        <f>IFERROR(IF(OR(VLOOKUP(A20,Rotas[[PROMOTOR]:[REGIONAL]],2,0)="Pará Sul",VLOOKUP(A20,Rotas[[PROMOTOR]:[REGIONAL]],2,0)="Pará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0" s="61">
        <f>IFERROR(IFERROR(VLOOKUP(Promotores5[[#This Row],[Promotor]],#REF!,2,0),0)/IFERROR(VLOOKUP(Promotores5[[#This Row],[Promotor]],#REF!,4,0),0),0)</f>
        <v>0</v>
      </c>
      <c r="K20" s="70">
        <f>IFERROR(IF(OR(VLOOKUP(A20,Rotas[[PROMOTOR]:[REGIONAL]],2,0)="Pará Sul",VLOOKUP(A20,Rotas[[PROMOTOR]:[REGIONAL]],2,0)="Pará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0" s="61">
        <v>1</v>
      </c>
      <c r="M20" s="70">
        <f>IFERROR(IF(OR(VLOOKUP(A20,Rotas[[PROMOTOR]:[REGIONAL]],2,0)="Pará Sul",VLOOKUP(A20,Rotas[[PROMOTOR]:[REGIONAL]],2,0)="Pará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0" s="70">
        <f>IF(Promotores5[[#This Row],[Sell Out]]=0,0,IF($H$2&gt;=115%,225,IF($H$2&gt;=100%,150,IF($H$2&gt;=90%,75,0))))</f>
        <v>0</v>
      </c>
      <c r="O20" s="70">
        <v>190</v>
      </c>
      <c r="P20" s="75">
        <f>IFERROR(IFERROR(VLOOKUP(Promotores5[[#This Row],[Promotor]],#REF!,6,0),0)/IFERROR(VLOOKUP(Promotores5[[#This Row],[Promotor]],#REF!,5,0),0),0)</f>
        <v>0</v>
      </c>
      <c r="Q20" s="70">
        <f t="shared" si="0"/>
        <v>0</v>
      </c>
      <c r="R20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290</v>
      </c>
      <c r="T20" s="96">
        <v>315</v>
      </c>
      <c r="V20" s="98">
        <f>(Promotores5[[#This Row],[Total+Treb]]/T20)-1</f>
        <v>-7.9365079365079416E-2</v>
      </c>
      <c r="X20" s="96">
        <f>Promotores5[[#This Row],[Total+Treb]]-T20</f>
        <v>-25</v>
      </c>
    </row>
    <row r="21" spans="1:24" x14ac:dyDescent="0.3">
      <c r="A21" s="1" t="s">
        <v>72</v>
      </c>
      <c r="B21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1" s="1" t="str">
        <f>IF(Promotores5[[#This Row],[Sell Out]]&gt;=300000,"A+",IF(Promotores5[[#This Row],[Sell Out]]&gt;=260000,"A",IF(Promotores5[[#This Row],[Sell Out]]&gt;=200000,"B","C")))</f>
        <v>C</v>
      </c>
      <c r="D21" s="61">
        <f>IFERROR(IFERROR(VLOOKUP(Promotores5[[#This Row],[Promotor]],#REF!,2,0),0)/IFERROR(VLOOKUP(Promotores5[[#This Row],[Promotor]],#REF!,4,0),0),0)</f>
        <v>0</v>
      </c>
      <c r="E21" s="70">
        <f>IFERROR(IF(OR(VLOOKUP(A21,Rotas[[PROMOTOR]:[REGIONAL]],2,0)="Pará Sul",VLOOKUP(A21,Rotas[[PROMOTOR]:[REGIONAL]],2,0)="Pará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1" s="61">
        <f>IFERROR(IFERROR(VLOOKUP(Promotores5[[#This Row],[Promotor]],#REF!,2,0),0)/IFERROR(VLOOKUP(Promotores5[[#This Row],[Promotor]],#REF!,4,0),0),0)</f>
        <v>0</v>
      </c>
      <c r="G21" s="70">
        <f>IFERROR(IF(OR(VLOOKUP(A21,Rotas[[PROMOTOR]:[REGIONAL]],2,0)="Pará Sul",VLOOKUP(A21,Rotas[[PROMOTOR]:[REGIONAL]],2,0)="Pará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1" s="61">
        <f>IFERROR(IFERROR(VLOOKUP(Promotores5[[#This Row],[Promotor]],#REF!,2,0),0)/IFERROR(VLOOKUP(Promotores5[[#This Row],[Promotor]],#REF!,4,0),0),0)</f>
        <v>0</v>
      </c>
      <c r="I21" s="70">
        <f>IFERROR(IF(OR(VLOOKUP(A21,Rotas[[PROMOTOR]:[REGIONAL]],2,0)="Pará Sul",VLOOKUP(A21,Rotas[[PROMOTOR]:[REGIONAL]],2,0)="Pará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1" s="61">
        <f>IFERROR(IFERROR(VLOOKUP(Promotores5[[#This Row],[Promotor]],#REF!,2,0),0)/IFERROR(VLOOKUP(Promotores5[[#This Row],[Promotor]],#REF!,4,0),0),0)</f>
        <v>0</v>
      </c>
      <c r="K21" s="70">
        <f>IFERROR(IF(OR(VLOOKUP(A21,Rotas[[PROMOTOR]:[REGIONAL]],2,0)="Pará Sul",VLOOKUP(A21,Rotas[[PROMOTOR]:[REGIONAL]],2,0)="Pará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1" s="61">
        <v>1</v>
      </c>
      <c r="M21" s="70">
        <f>IFERROR(IF(OR(VLOOKUP(A21,Rotas[[PROMOTOR]:[REGIONAL]],2,0)="Pará Sul",VLOOKUP(A21,Rotas[[PROMOTOR]:[REGIONAL]],2,0)="Pará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1" s="70">
        <f>IF(Promotores5[[#This Row],[Sell Out]]=0,0,IF($H$2&gt;=115%,225,IF($H$2&gt;=100%,150,IF($H$2&gt;=90%,75,0))))</f>
        <v>0</v>
      </c>
      <c r="O21" s="70">
        <v>185</v>
      </c>
      <c r="P21" s="75">
        <f>IFERROR(IFERROR(VLOOKUP(Promotores5[[#This Row],[Promotor]],#REF!,6,0),0)/IFERROR(VLOOKUP(Promotores5[[#This Row],[Promotor]],#REF!,5,0),0),0)</f>
        <v>0</v>
      </c>
      <c r="Q21" s="70">
        <f t="shared" si="0"/>
        <v>0</v>
      </c>
      <c r="R21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285</v>
      </c>
      <c r="T21" s="97">
        <v>360</v>
      </c>
      <c r="V21" s="99">
        <f>(Promotores5[[#This Row],[Total+Treb]]/T21)-1</f>
        <v>-0.20833333333333337</v>
      </c>
      <c r="X21" s="97">
        <f>Promotores5[[#This Row],[Total+Treb]]-T21</f>
        <v>-75</v>
      </c>
    </row>
    <row r="22" spans="1:24" x14ac:dyDescent="0.3">
      <c r="A22" s="1" t="s">
        <v>73</v>
      </c>
      <c r="B22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2" s="1" t="str">
        <f>IF(Promotores5[[#This Row],[Sell Out]]&gt;=300000,"A+",IF(Promotores5[[#This Row],[Sell Out]]&gt;=260000,"A",IF(Promotores5[[#This Row],[Sell Out]]&gt;=200000,"B","C")))</f>
        <v>C</v>
      </c>
      <c r="D22" s="61">
        <f>IFERROR(IFERROR(VLOOKUP(Promotores5[[#This Row],[Promotor]],#REF!,2,0),0)/IFERROR(VLOOKUP(Promotores5[[#This Row],[Promotor]],#REF!,4,0),0),0)</f>
        <v>0</v>
      </c>
      <c r="E22" s="70">
        <f>IFERROR(IF(OR(VLOOKUP(A22,Rotas[[PROMOTOR]:[REGIONAL]],2,0)="Pará Sul",VLOOKUP(A22,Rotas[[PROMOTOR]:[REGIONAL]],2,0)="Pará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2" s="61">
        <f>IFERROR(IFERROR(VLOOKUP(Promotores5[[#This Row],[Promotor]],#REF!,2,0),0)/IFERROR(VLOOKUP(Promotores5[[#This Row],[Promotor]],#REF!,4,0),0),0)</f>
        <v>0</v>
      </c>
      <c r="G22" s="70">
        <f>IFERROR(IF(OR(VLOOKUP(A22,Rotas[[PROMOTOR]:[REGIONAL]],2,0)="Pará Sul",VLOOKUP(A22,Rotas[[PROMOTOR]:[REGIONAL]],2,0)="Pará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2" s="61">
        <f>IFERROR(IFERROR(VLOOKUP(Promotores5[[#This Row],[Promotor]],#REF!,2,0),0)/IFERROR(VLOOKUP(Promotores5[[#This Row],[Promotor]],#REF!,4,0),0),0)</f>
        <v>0</v>
      </c>
      <c r="I22" s="70">
        <f>IFERROR(IF(OR(VLOOKUP(A22,Rotas[[PROMOTOR]:[REGIONAL]],2,0)="Pará Sul",VLOOKUP(A22,Rotas[[PROMOTOR]:[REGIONAL]],2,0)="Pará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2" s="61">
        <f>IFERROR(IFERROR(VLOOKUP(Promotores5[[#This Row],[Promotor]],#REF!,2,0),0)/IFERROR(VLOOKUP(Promotores5[[#This Row],[Promotor]],#REF!,4,0),0),0)</f>
        <v>0</v>
      </c>
      <c r="K22" s="70">
        <f>IFERROR(IF(OR(VLOOKUP(A22,Rotas[[PROMOTOR]:[REGIONAL]],2,0)="Pará Sul",VLOOKUP(A22,Rotas[[PROMOTOR]:[REGIONAL]],2,0)="Pará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2" s="61">
        <v>1</v>
      </c>
      <c r="M22" s="70">
        <f>IFERROR(IF(OR(VLOOKUP(A22,Rotas[[PROMOTOR]:[REGIONAL]],2,0)="Pará Sul",VLOOKUP(A22,Rotas[[PROMOTOR]:[REGIONAL]],2,0)="Pará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22" s="70">
        <f>IF(Promotores5[[#This Row],[Sell Out]]=0,0,IF($H$2&gt;=115%,225,IF($H$2&gt;=100%,150,IF($H$2&gt;=90%,75,0))))</f>
        <v>0</v>
      </c>
      <c r="O22" s="70">
        <v>222.5</v>
      </c>
      <c r="P22" s="75">
        <f>IFERROR(IFERROR(VLOOKUP(Promotores5[[#This Row],[Promotor]],#REF!,6,0),0)/IFERROR(VLOOKUP(Promotores5[[#This Row],[Promotor]],#REF!,5,0),0),0)</f>
        <v>0</v>
      </c>
      <c r="Q22" s="70">
        <f t="shared" si="0"/>
        <v>0</v>
      </c>
      <c r="R22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222.5</v>
      </c>
      <c r="T22" s="96">
        <v>862.5</v>
      </c>
      <c r="V22" s="98">
        <f>(Promotores5[[#This Row],[Total+Treb]]/T22)-1</f>
        <v>-0.74202898550724639</v>
      </c>
      <c r="X22" s="96">
        <f>Promotores5[[#This Row],[Total+Treb]]-T22</f>
        <v>-640</v>
      </c>
    </row>
    <row r="23" spans="1:24" x14ac:dyDescent="0.3">
      <c r="A23" s="1" t="s">
        <v>74</v>
      </c>
      <c r="B23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3" s="1" t="str">
        <f>IF(Promotores5[[#This Row],[Sell Out]]&gt;=300000,"A+",IF(Promotores5[[#This Row],[Sell Out]]&gt;=260000,"A",IF(Promotores5[[#This Row],[Sell Out]]&gt;=200000,"B","C")))</f>
        <v>C</v>
      </c>
      <c r="D23" s="61">
        <f>IFERROR(IFERROR(VLOOKUP(Promotores5[[#This Row],[Promotor]],#REF!,2,0),0)/IFERROR(VLOOKUP(Promotores5[[#This Row],[Promotor]],#REF!,4,0),0),0)</f>
        <v>0</v>
      </c>
      <c r="E23" s="70">
        <f>IFERROR(IF(OR(VLOOKUP(A23,Rotas[[PROMOTOR]:[REGIONAL]],2,0)="Pará Sul",VLOOKUP(A23,Rotas[[PROMOTOR]:[REGIONAL]],2,0)="Pará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3" s="61">
        <f>IFERROR(IFERROR(VLOOKUP(Promotores5[[#This Row],[Promotor]],#REF!,2,0),0)/IFERROR(VLOOKUP(Promotores5[[#This Row],[Promotor]],#REF!,4,0),0),0)</f>
        <v>0</v>
      </c>
      <c r="G23" s="70">
        <f>IFERROR(IF(OR(VLOOKUP(A23,Rotas[[PROMOTOR]:[REGIONAL]],2,0)="Pará Sul",VLOOKUP(A23,Rotas[[PROMOTOR]:[REGIONAL]],2,0)="Pará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3" s="61">
        <f>IFERROR(IFERROR(VLOOKUP(Promotores5[[#This Row],[Promotor]],#REF!,2,0),0)/IFERROR(VLOOKUP(Promotores5[[#This Row],[Promotor]],#REF!,4,0),0),0)</f>
        <v>0</v>
      </c>
      <c r="I23" s="70">
        <f>IFERROR(IF(OR(VLOOKUP(A23,Rotas[[PROMOTOR]:[REGIONAL]],2,0)="Pará Sul",VLOOKUP(A23,Rotas[[PROMOTOR]:[REGIONAL]],2,0)="Pará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3" s="61">
        <f>IFERROR(IFERROR(VLOOKUP(Promotores5[[#This Row],[Promotor]],#REF!,2,0),0)/IFERROR(VLOOKUP(Promotores5[[#This Row],[Promotor]],#REF!,4,0),0),0)</f>
        <v>0</v>
      </c>
      <c r="K23" s="70">
        <f>IFERROR(IF(OR(VLOOKUP(A23,Rotas[[PROMOTOR]:[REGIONAL]],2,0)="Pará Sul",VLOOKUP(A23,Rotas[[PROMOTOR]:[REGIONAL]],2,0)="Pará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3" s="61">
        <v>1</v>
      </c>
      <c r="M23" s="70">
        <f>IFERROR(IF(OR(VLOOKUP(A23,Rotas[[PROMOTOR]:[REGIONAL]],2,0)="Pará Sul",VLOOKUP(A23,Rotas[[PROMOTOR]:[REGIONAL]],2,0)="Pará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3" s="70">
        <f>IF(Promotores5[[#This Row],[Sell Out]]=0,0,IF($H$2&gt;=115%,225,IF($H$2&gt;=100%,150,IF($H$2&gt;=90%,75,0))))</f>
        <v>0</v>
      </c>
      <c r="O23" s="70">
        <v>190</v>
      </c>
      <c r="P23" s="75">
        <f>IFERROR(IFERROR(VLOOKUP(Promotores5[[#This Row],[Promotor]],#REF!,6,0),0)/IFERROR(VLOOKUP(Promotores5[[#This Row],[Promotor]],#REF!,5,0),0),0)</f>
        <v>0</v>
      </c>
      <c r="Q23" s="70">
        <f t="shared" si="0"/>
        <v>0</v>
      </c>
      <c r="R23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290</v>
      </c>
      <c r="T23" s="97">
        <v>465</v>
      </c>
      <c r="V23" s="99">
        <f>(Promotores5[[#This Row],[Total+Treb]]/T23)-1</f>
        <v>-0.37634408602150538</v>
      </c>
      <c r="X23" s="97">
        <f>Promotores5[[#This Row],[Total+Treb]]-T23</f>
        <v>-175</v>
      </c>
    </row>
    <row r="24" spans="1:24" x14ac:dyDescent="0.3">
      <c r="A24" s="1" t="s">
        <v>75</v>
      </c>
      <c r="B24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4" s="1" t="str">
        <f>IF(Promotores5[[#This Row],[Sell Out]]&gt;=300000,"A+",IF(Promotores5[[#This Row],[Sell Out]]&gt;=260000,"A",IF(Promotores5[[#This Row],[Sell Out]]&gt;=200000,"B","C")))</f>
        <v>C</v>
      </c>
      <c r="D24" s="61">
        <f>IFERROR(IFERROR(VLOOKUP(Promotores5[[#This Row],[Promotor]],#REF!,2,0),0)/IFERROR(VLOOKUP(Promotores5[[#This Row],[Promotor]],#REF!,4,0),0),0)</f>
        <v>0</v>
      </c>
      <c r="E24" s="70">
        <f>IFERROR(IF(OR(VLOOKUP(A24,Rotas[[PROMOTOR]:[REGIONAL]],2,0)="Pará Sul",VLOOKUP(A24,Rotas[[PROMOTOR]:[REGIONAL]],2,0)="Pará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4" s="61">
        <f>IFERROR(IFERROR(VLOOKUP(Promotores5[[#This Row],[Promotor]],#REF!,2,0),0)/IFERROR(VLOOKUP(Promotores5[[#This Row],[Promotor]],#REF!,4,0),0),0)</f>
        <v>0</v>
      </c>
      <c r="G24" s="70">
        <f>IFERROR(IF(OR(VLOOKUP(A24,Rotas[[PROMOTOR]:[REGIONAL]],2,0)="Pará Sul",VLOOKUP(A24,Rotas[[PROMOTOR]:[REGIONAL]],2,0)="Pará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4" s="61">
        <f>IFERROR(IFERROR(VLOOKUP(Promotores5[[#This Row],[Promotor]],#REF!,2,0),0)/IFERROR(VLOOKUP(Promotores5[[#This Row],[Promotor]],#REF!,4,0),0),0)</f>
        <v>0</v>
      </c>
      <c r="I24" s="70">
        <f>IFERROR(IF(OR(VLOOKUP(A24,Rotas[[PROMOTOR]:[REGIONAL]],2,0)="Pará Sul",VLOOKUP(A24,Rotas[[PROMOTOR]:[REGIONAL]],2,0)="Pará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4" s="61">
        <f>IFERROR(IFERROR(VLOOKUP(Promotores5[[#This Row],[Promotor]],#REF!,2,0),0)/IFERROR(VLOOKUP(Promotores5[[#This Row],[Promotor]],#REF!,4,0),0),0)</f>
        <v>0</v>
      </c>
      <c r="K24" s="70">
        <f>IFERROR(IF(OR(VLOOKUP(A24,Rotas[[PROMOTOR]:[REGIONAL]],2,0)="Pará Sul",VLOOKUP(A24,Rotas[[PROMOTOR]:[REGIONAL]],2,0)="Pará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4" s="61">
        <v>1</v>
      </c>
      <c r="M24" s="70">
        <f>IFERROR(IF(OR(VLOOKUP(A24,Rotas[[PROMOTOR]:[REGIONAL]],2,0)="Pará Sul",VLOOKUP(A24,Rotas[[PROMOTOR]:[REGIONAL]],2,0)="Pará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4" s="70">
        <f>IF(Promotores5[[#This Row],[Sell Out]]=0,0,IF($H$2&gt;=115%,225,IF($H$2&gt;=100%,150,IF($H$2&gt;=90%,75,0))))</f>
        <v>0</v>
      </c>
      <c r="O24" s="70">
        <v>190</v>
      </c>
      <c r="P24" s="75">
        <f>IFERROR(IFERROR(VLOOKUP(Promotores5[[#This Row],[Promotor]],#REF!,6,0),0)/IFERROR(VLOOKUP(Promotores5[[#This Row],[Promotor]],#REF!,5,0),0),0)</f>
        <v>0</v>
      </c>
      <c r="Q24" s="70">
        <f t="shared" si="0"/>
        <v>0</v>
      </c>
      <c r="R24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290</v>
      </c>
      <c r="T24" s="96">
        <v>390</v>
      </c>
      <c r="V24" s="98">
        <f>(Promotores5[[#This Row],[Total+Treb]]/T24)-1</f>
        <v>-0.25641025641025639</v>
      </c>
      <c r="X24" s="96">
        <f>Promotores5[[#This Row],[Total+Treb]]-T24</f>
        <v>-100</v>
      </c>
    </row>
    <row r="25" spans="1:24" x14ac:dyDescent="0.3">
      <c r="A25" s="1" t="s">
        <v>76</v>
      </c>
      <c r="B25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5" s="1" t="str">
        <f>IF(Promotores5[[#This Row],[Sell Out]]&gt;=300000,"A+",IF(Promotores5[[#This Row],[Sell Out]]&gt;=260000,"A",IF(Promotores5[[#This Row],[Sell Out]]&gt;=200000,"B","C")))</f>
        <v>C</v>
      </c>
      <c r="D25" s="61">
        <f>IFERROR(IFERROR(VLOOKUP(Promotores5[[#This Row],[Promotor]],#REF!,2,0),0)/IFERROR(VLOOKUP(Promotores5[[#This Row],[Promotor]],#REF!,4,0),0),0)</f>
        <v>0</v>
      </c>
      <c r="E25" s="70">
        <f>IFERROR(IF(OR(VLOOKUP(A25,Rotas[[PROMOTOR]:[REGIONAL]],2,0)="Pará Sul",VLOOKUP(A25,Rotas[[PROMOTOR]:[REGIONAL]],2,0)="Pará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5" s="61">
        <f>IFERROR(IFERROR(VLOOKUP(Promotores5[[#This Row],[Promotor]],#REF!,2,0),0)/IFERROR(VLOOKUP(Promotores5[[#This Row],[Promotor]],#REF!,4,0),0),0)</f>
        <v>0</v>
      </c>
      <c r="G25" s="70">
        <f>IFERROR(IF(OR(VLOOKUP(A25,Rotas[[PROMOTOR]:[REGIONAL]],2,0)="Pará Sul",VLOOKUP(A25,Rotas[[PROMOTOR]:[REGIONAL]],2,0)="Pará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5" s="61">
        <f>IFERROR(IFERROR(VLOOKUP(Promotores5[[#This Row],[Promotor]],#REF!,2,0),0)/IFERROR(VLOOKUP(Promotores5[[#This Row],[Promotor]],#REF!,4,0),0),0)</f>
        <v>0</v>
      </c>
      <c r="I25" s="70">
        <f>IFERROR(IF(OR(VLOOKUP(A25,Rotas[[PROMOTOR]:[REGIONAL]],2,0)="Pará Sul",VLOOKUP(A25,Rotas[[PROMOTOR]:[REGIONAL]],2,0)="Pará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5" s="61">
        <f>IFERROR(IFERROR(VLOOKUP(Promotores5[[#This Row],[Promotor]],#REF!,2,0),0)/IFERROR(VLOOKUP(Promotores5[[#This Row],[Promotor]],#REF!,4,0),0),0)</f>
        <v>0</v>
      </c>
      <c r="K25" s="70">
        <f>IFERROR(IF(OR(VLOOKUP(A25,Rotas[[PROMOTOR]:[REGIONAL]],2,0)="Pará Sul",VLOOKUP(A25,Rotas[[PROMOTOR]:[REGIONAL]],2,0)="Pará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5" s="61">
        <v>1</v>
      </c>
      <c r="M25" s="70">
        <f>IFERROR(IF(OR(VLOOKUP(A25,Rotas[[PROMOTOR]:[REGIONAL]],2,0)="Pará Sul",VLOOKUP(A25,Rotas[[PROMOTOR]:[REGIONAL]],2,0)="Pará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5" s="70">
        <f>IF(Promotores5[[#This Row],[Sell Out]]=0,0,IF($H$2&gt;=115%,225,IF($H$2&gt;=100%,150,IF($H$2&gt;=90%,75,0))))</f>
        <v>0</v>
      </c>
      <c r="O25" s="70">
        <v>191.25</v>
      </c>
      <c r="P25" s="75">
        <f>IFERROR(IFERROR(VLOOKUP(Promotores5[[#This Row],[Promotor]],#REF!,6,0),0)/IFERROR(VLOOKUP(Promotores5[[#This Row],[Promotor]],#REF!,5,0),0),0)</f>
        <v>0</v>
      </c>
      <c r="Q25" s="70">
        <f t="shared" si="0"/>
        <v>0</v>
      </c>
      <c r="R25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291.25</v>
      </c>
      <c r="T25" s="97">
        <v>336.25</v>
      </c>
      <c r="V25" s="99">
        <f>(Promotores5[[#This Row],[Total+Treb]]/T25)-1</f>
        <v>-0.13382899628252787</v>
      </c>
      <c r="X25" s="97">
        <f>Promotores5[[#This Row],[Total+Treb]]-T25</f>
        <v>-45</v>
      </c>
    </row>
    <row r="26" spans="1:24" x14ac:dyDescent="0.3">
      <c r="A26" s="1" t="s">
        <v>77</v>
      </c>
      <c r="B26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6" s="1" t="str">
        <f>IF(Promotores5[[#This Row],[Sell Out]]&gt;=300000,"A+",IF(Promotores5[[#This Row],[Sell Out]]&gt;=260000,"A",IF(Promotores5[[#This Row],[Sell Out]]&gt;=200000,"B","C")))</f>
        <v>C</v>
      </c>
      <c r="D26" s="61">
        <f>IFERROR(IFERROR(VLOOKUP(Promotores5[[#This Row],[Promotor]],#REF!,2,0),0)/IFERROR(VLOOKUP(Promotores5[[#This Row],[Promotor]],#REF!,4,0),0),0)</f>
        <v>0</v>
      </c>
      <c r="E26" s="70">
        <f>IFERROR(IF(OR(VLOOKUP(A26,Rotas[[PROMOTOR]:[REGIONAL]],2,0)="Pará Sul",VLOOKUP(A26,Rotas[[PROMOTOR]:[REGIONAL]],2,0)="Pará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6" s="61">
        <f>IFERROR(IFERROR(VLOOKUP(Promotores5[[#This Row],[Promotor]],#REF!,2,0),0)/IFERROR(VLOOKUP(Promotores5[[#This Row],[Promotor]],#REF!,4,0),0),0)</f>
        <v>0</v>
      </c>
      <c r="G26" s="70">
        <f>IFERROR(IF(OR(VLOOKUP(A26,Rotas[[PROMOTOR]:[REGIONAL]],2,0)="Pará Sul",VLOOKUP(A26,Rotas[[PROMOTOR]:[REGIONAL]],2,0)="Pará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6" s="61">
        <f>IFERROR(IFERROR(VLOOKUP(Promotores5[[#This Row],[Promotor]],#REF!,2,0),0)/IFERROR(VLOOKUP(Promotores5[[#This Row],[Promotor]],#REF!,4,0),0),0)</f>
        <v>0</v>
      </c>
      <c r="I26" s="70">
        <f>IFERROR(IF(OR(VLOOKUP(A26,Rotas[[PROMOTOR]:[REGIONAL]],2,0)="Pará Sul",VLOOKUP(A26,Rotas[[PROMOTOR]:[REGIONAL]],2,0)="Pará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6" s="61">
        <f>IFERROR(IFERROR(VLOOKUP(Promotores5[[#This Row],[Promotor]],#REF!,2,0),0)/IFERROR(VLOOKUP(Promotores5[[#This Row],[Promotor]],#REF!,4,0),0),0)</f>
        <v>0</v>
      </c>
      <c r="K26" s="70">
        <f>IFERROR(IF(OR(VLOOKUP(A26,Rotas[[PROMOTOR]:[REGIONAL]],2,0)="Pará Sul",VLOOKUP(A26,Rotas[[PROMOTOR]:[REGIONAL]],2,0)="Pará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6" s="61">
        <v>1</v>
      </c>
      <c r="M26" s="70">
        <f>IFERROR(IF(OR(VLOOKUP(A26,Rotas[[PROMOTOR]:[REGIONAL]],2,0)="Pará Sul",VLOOKUP(A26,Rotas[[PROMOTOR]:[REGIONAL]],2,0)="Pará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26" s="70">
        <f>IF(Promotores5[[#This Row],[Sell Out]]=0,0,IF($H$2&gt;=115%,225,IF($H$2&gt;=100%,150,IF($H$2&gt;=90%,75,0))))</f>
        <v>0</v>
      </c>
      <c r="O26" s="70">
        <v>120</v>
      </c>
      <c r="P26" s="75">
        <f>IFERROR(IFERROR(VLOOKUP(Promotores5[[#This Row],[Promotor]],#REF!,6,0),0)/IFERROR(VLOOKUP(Promotores5[[#This Row],[Promotor]],#REF!,5,0),0),0)</f>
        <v>0</v>
      </c>
      <c r="Q26" s="70">
        <f t="shared" si="0"/>
        <v>0</v>
      </c>
      <c r="R26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120</v>
      </c>
      <c r="T26" s="96">
        <v>420</v>
      </c>
      <c r="V26" s="98">
        <f>(Promotores5[[#This Row],[Total+Treb]]/T26)-1</f>
        <v>-0.7142857142857143</v>
      </c>
      <c r="X26" s="96">
        <f>Promotores5[[#This Row],[Total+Treb]]-T26</f>
        <v>-300</v>
      </c>
    </row>
    <row r="27" spans="1:24" x14ac:dyDescent="0.3">
      <c r="A27" s="1" t="s">
        <v>78</v>
      </c>
      <c r="B27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7" s="1" t="str">
        <f>IF(Promotores5[[#This Row],[Sell Out]]&gt;=300000,"A+",IF(Promotores5[[#This Row],[Sell Out]]&gt;=260000,"A",IF(Promotores5[[#This Row],[Sell Out]]&gt;=200000,"B","C")))</f>
        <v>C</v>
      </c>
      <c r="D27" s="61">
        <f>IFERROR(IFERROR(VLOOKUP(Promotores5[[#This Row],[Promotor]],#REF!,2,0),0)/IFERROR(VLOOKUP(Promotores5[[#This Row],[Promotor]],#REF!,4,0),0),0)</f>
        <v>0</v>
      </c>
      <c r="E27" s="70">
        <f>IFERROR(IF(OR(VLOOKUP(A27,Rotas[[PROMOTOR]:[REGIONAL]],2,0)="Pará Sul",VLOOKUP(A27,Rotas[[PROMOTOR]:[REGIONAL]],2,0)="Pará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7" s="61">
        <f>IFERROR(IFERROR(VLOOKUP(Promotores5[[#This Row],[Promotor]],#REF!,2,0),0)/IFERROR(VLOOKUP(Promotores5[[#This Row],[Promotor]],#REF!,4,0),0),0)</f>
        <v>0</v>
      </c>
      <c r="G27" s="70">
        <f>IFERROR(IF(OR(VLOOKUP(A27,Rotas[[PROMOTOR]:[REGIONAL]],2,0)="Pará Sul",VLOOKUP(A27,Rotas[[PROMOTOR]:[REGIONAL]],2,0)="Pará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7" s="61">
        <f>IFERROR(IFERROR(VLOOKUP(Promotores5[[#This Row],[Promotor]],#REF!,2,0),0)/IFERROR(VLOOKUP(Promotores5[[#This Row],[Promotor]],#REF!,4,0),0),0)</f>
        <v>0</v>
      </c>
      <c r="I27" s="70">
        <f>IFERROR(IF(OR(VLOOKUP(A27,Rotas[[PROMOTOR]:[REGIONAL]],2,0)="Pará Sul",VLOOKUP(A27,Rotas[[PROMOTOR]:[REGIONAL]],2,0)="Pará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7" s="61">
        <f>IFERROR(IFERROR(VLOOKUP(Promotores5[[#This Row],[Promotor]],#REF!,2,0),0)/IFERROR(VLOOKUP(Promotores5[[#This Row],[Promotor]],#REF!,4,0),0),0)</f>
        <v>0</v>
      </c>
      <c r="K27" s="70">
        <f>IFERROR(IF(OR(VLOOKUP(A27,Rotas[[PROMOTOR]:[REGIONAL]],2,0)="Pará Sul",VLOOKUP(A27,Rotas[[PROMOTOR]:[REGIONAL]],2,0)="Pará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7" s="61">
        <v>1</v>
      </c>
      <c r="M27" s="70">
        <f>IFERROR(IF(OR(VLOOKUP(A27,Rotas[[PROMOTOR]:[REGIONAL]],2,0)="Pará Sul",VLOOKUP(A27,Rotas[[PROMOTOR]:[REGIONAL]],2,0)="Pará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7" s="70">
        <f>IF(Promotores5[[#This Row],[Sell Out]]=0,0,IF($H$2&gt;=115%,225,IF($H$2&gt;=100%,150,IF($H$2&gt;=90%,75,0))))</f>
        <v>0</v>
      </c>
      <c r="O27" s="70">
        <v>225</v>
      </c>
      <c r="P27" s="75">
        <f>IFERROR(IFERROR(VLOOKUP(Promotores5[[#This Row],[Promotor]],#REF!,6,0),0)/IFERROR(VLOOKUP(Promotores5[[#This Row],[Promotor]],#REF!,5,0),0),0)</f>
        <v>0</v>
      </c>
      <c r="Q27" s="70">
        <f t="shared" si="0"/>
        <v>0</v>
      </c>
      <c r="R27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325</v>
      </c>
      <c r="T27" s="97">
        <v>600</v>
      </c>
      <c r="V27" s="99">
        <f>(Promotores5[[#This Row],[Total+Treb]]/T27)-1</f>
        <v>-0.45833333333333337</v>
      </c>
      <c r="X27" s="97">
        <f>Promotores5[[#This Row],[Total+Treb]]-T27</f>
        <v>-275</v>
      </c>
    </row>
    <row r="28" spans="1:24" x14ac:dyDescent="0.3">
      <c r="A28" s="1" t="s">
        <v>80</v>
      </c>
      <c r="B28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8" s="1" t="str">
        <f>IF(Promotores5[[#This Row],[Sell Out]]&gt;=300000,"A+",IF(Promotores5[[#This Row],[Sell Out]]&gt;=260000,"A",IF(Promotores5[[#This Row],[Sell Out]]&gt;=200000,"B","C")))</f>
        <v>C</v>
      </c>
      <c r="D28" s="61">
        <f>IFERROR(IFERROR(VLOOKUP(Promotores5[[#This Row],[Promotor]],#REF!,2,0),0)/IFERROR(VLOOKUP(Promotores5[[#This Row],[Promotor]],#REF!,4,0),0),0)</f>
        <v>0</v>
      </c>
      <c r="E28" s="70">
        <f>IFERROR(IF(OR(VLOOKUP(A28,Rotas[[PROMOTOR]:[REGIONAL]],2,0)="Pará Sul",VLOOKUP(A28,Rotas[[PROMOTOR]:[REGIONAL]],2,0)="Pará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8" s="61">
        <f>IFERROR(IFERROR(VLOOKUP(Promotores5[[#This Row],[Promotor]],#REF!,2,0),0)/IFERROR(VLOOKUP(Promotores5[[#This Row],[Promotor]],#REF!,4,0),0),0)</f>
        <v>0</v>
      </c>
      <c r="G28" s="70">
        <f>IFERROR(IF(OR(VLOOKUP(A28,Rotas[[PROMOTOR]:[REGIONAL]],2,0)="Pará Sul",VLOOKUP(A28,Rotas[[PROMOTOR]:[REGIONAL]],2,0)="Pará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8" s="61">
        <f>IFERROR(IFERROR(VLOOKUP(Promotores5[[#This Row],[Promotor]],#REF!,2,0),0)/IFERROR(VLOOKUP(Promotores5[[#This Row],[Promotor]],#REF!,4,0),0),0)</f>
        <v>0</v>
      </c>
      <c r="I28" s="70">
        <f>IFERROR(IF(OR(VLOOKUP(A28,Rotas[[PROMOTOR]:[REGIONAL]],2,0)="Pará Sul",VLOOKUP(A28,Rotas[[PROMOTOR]:[REGIONAL]],2,0)="Pará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8" s="61">
        <f>IFERROR(IFERROR(VLOOKUP(Promotores5[[#This Row],[Promotor]],#REF!,2,0),0)/IFERROR(VLOOKUP(Promotores5[[#This Row],[Promotor]],#REF!,4,0),0),0)</f>
        <v>0</v>
      </c>
      <c r="K28" s="70">
        <f>IFERROR(IF(OR(VLOOKUP(A28,Rotas[[PROMOTOR]:[REGIONAL]],2,0)="Pará Sul",VLOOKUP(A28,Rotas[[PROMOTOR]:[REGIONAL]],2,0)="Pará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8" s="61">
        <v>1</v>
      </c>
      <c r="M28" s="70">
        <f>IFERROR(IF(OR(VLOOKUP(A28,Rotas[[PROMOTOR]:[REGIONAL]],2,0)="Pará Sul",VLOOKUP(A28,Rotas[[PROMOTOR]:[REGIONAL]],2,0)="Pará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8" s="70">
        <f>IF(Promotores5[[#This Row],[Sell Out]]=0,0,IF($H$2&gt;=115%,225,IF($H$2&gt;=100%,150,IF($H$2&gt;=90%,75,0))))</f>
        <v>0</v>
      </c>
      <c r="O28" s="70">
        <v>225</v>
      </c>
      <c r="P28" s="75">
        <f>IFERROR(IFERROR(VLOOKUP(Promotores5[[#This Row],[Promotor]],#REF!,6,0),0)/IFERROR(VLOOKUP(Promotores5[[#This Row],[Promotor]],#REF!,5,0),0),0)</f>
        <v>0</v>
      </c>
      <c r="Q28" s="70">
        <f t="shared" si="0"/>
        <v>0</v>
      </c>
      <c r="R28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325</v>
      </c>
      <c r="T28" s="96">
        <v>775</v>
      </c>
      <c r="V28" s="98">
        <f>(Promotores5[[#This Row],[Total+Treb]]/T28)-1</f>
        <v>-0.58064516129032251</v>
      </c>
      <c r="X28" s="96">
        <f>Promotores5[[#This Row],[Total+Treb]]-T28</f>
        <v>-450</v>
      </c>
    </row>
    <row r="29" spans="1:24" x14ac:dyDescent="0.3">
      <c r="A29" s="1" t="s">
        <v>294</v>
      </c>
      <c r="B29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29" s="1" t="str">
        <f>IF(Promotores5[[#This Row],[Sell Out]]&gt;=300000,"A+",IF(Promotores5[[#This Row],[Sell Out]]&gt;=260000,"A",IF(Promotores5[[#This Row],[Sell Out]]&gt;=200000,"B","C")))</f>
        <v>C</v>
      </c>
      <c r="D29" s="61">
        <f>IFERROR(IFERROR(VLOOKUP(Promotores5[[#This Row],[Promotor]],#REF!,2,0),0)/IFERROR(VLOOKUP(Promotores5[[#This Row],[Promotor]],#REF!,4,0),0),0)</f>
        <v>0</v>
      </c>
      <c r="E29" s="70">
        <f>IFERROR(IF(OR(VLOOKUP(A29,Rotas[[PROMOTOR]:[REGIONAL]],2,0)="Pará Sul",VLOOKUP(A29,Rotas[[PROMOTOR]:[REGIONAL]],2,0)="Pará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29" s="61">
        <f>IFERROR(IFERROR(VLOOKUP(Promotores5[[#This Row],[Promotor]],#REF!,2,0),0)/IFERROR(VLOOKUP(Promotores5[[#This Row],[Promotor]],#REF!,4,0),0),0)</f>
        <v>0</v>
      </c>
      <c r="G29" s="70">
        <f>IFERROR(IF(OR(VLOOKUP(A29,Rotas[[PROMOTOR]:[REGIONAL]],2,0)="Pará Sul",VLOOKUP(A29,Rotas[[PROMOTOR]:[REGIONAL]],2,0)="Pará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29" s="61">
        <f>IFERROR(IFERROR(VLOOKUP(Promotores5[[#This Row],[Promotor]],#REF!,2,0),0)/IFERROR(VLOOKUP(Promotores5[[#This Row],[Promotor]],#REF!,4,0),0),0)</f>
        <v>0</v>
      </c>
      <c r="I29" s="70">
        <f>IFERROR(IF(OR(VLOOKUP(A29,Rotas[[PROMOTOR]:[REGIONAL]],2,0)="Pará Sul",VLOOKUP(A29,Rotas[[PROMOTOR]:[REGIONAL]],2,0)="Pará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29" s="61">
        <f>IFERROR(IFERROR(VLOOKUP(Promotores5[[#This Row],[Promotor]],#REF!,2,0),0)/IFERROR(VLOOKUP(Promotores5[[#This Row],[Promotor]],#REF!,4,0),0),0)</f>
        <v>0</v>
      </c>
      <c r="K29" s="70">
        <f>IFERROR(IF(OR(VLOOKUP(A29,Rotas[[PROMOTOR]:[REGIONAL]],2,0)="Pará Sul",VLOOKUP(A29,Rotas[[PROMOTOR]:[REGIONAL]],2,0)="Pará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29" s="61">
        <v>1</v>
      </c>
      <c r="M29" s="70">
        <f>IFERROR(IF(OR(VLOOKUP(A29,Rotas[[PROMOTOR]:[REGIONAL]],2,0)="Pará Sul",VLOOKUP(A29,Rotas[[PROMOTOR]:[REGIONAL]],2,0)="Pará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29" s="70">
        <f>IF(Promotores5[[#This Row],[Sell Out]]=0,0,IF($H$2&gt;=115%,225,IF($H$2&gt;=100%,150,IF($H$2&gt;=90%,75,0))))</f>
        <v>0</v>
      </c>
      <c r="O29" s="70">
        <v>80</v>
      </c>
      <c r="P29" s="75">
        <f>IFERROR(IFERROR(VLOOKUP(Promotores5[[#This Row],[Promotor]],#REF!,6,0),0)/IFERROR(VLOOKUP(Promotores5[[#This Row],[Promotor]],#REF!,5,0),0),0)</f>
        <v>0</v>
      </c>
      <c r="Q29" s="70">
        <f t="shared" si="0"/>
        <v>0</v>
      </c>
      <c r="R29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180</v>
      </c>
      <c r="T29" s="97">
        <v>155</v>
      </c>
      <c r="V29" s="99">
        <f>(Promotores5[[#This Row],[Total+Treb]]/T29)-1</f>
        <v>0.16129032258064524</v>
      </c>
      <c r="X29" s="97">
        <f>Promotores5[[#This Row],[Total+Treb]]-T29</f>
        <v>25</v>
      </c>
    </row>
    <row r="30" spans="1:24" x14ac:dyDescent="0.3">
      <c r="A30" s="1" t="s">
        <v>81</v>
      </c>
      <c r="B30" s="70"/>
      <c r="D30" s="61"/>
      <c r="E30" s="70"/>
      <c r="F30" s="61"/>
      <c r="G30" s="70"/>
      <c r="H30" s="61"/>
      <c r="I30" s="70"/>
      <c r="J30" s="61"/>
      <c r="K30" s="70"/>
      <c r="L30" s="61"/>
      <c r="M30" s="70">
        <f>IFERROR(IF(OR(VLOOKUP(A30,Rotas[[PROMOTOR]:[REGIONAL]],2,0)="Pará Sul",VLOOKUP(A30,Rotas[[PROMOTOR]:[REGIONAL]],2,0)="Pará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30" s="70"/>
      <c r="O30" s="70"/>
      <c r="P30" s="75"/>
      <c r="Q30" s="70"/>
      <c r="R30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0</v>
      </c>
      <c r="T30" s="96"/>
      <c r="V30" s="98"/>
      <c r="X30" s="96">
        <f>Promotores5[[#This Row],[Total+Treb]]-T30</f>
        <v>0</v>
      </c>
    </row>
    <row r="31" spans="1:24" x14ac:dyDescent="0.3">
      <c r="A31" s="1" t="s">
        <v>82</v>
      </c>
      <c r="B31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1" s="1" t="str">
        <f>IF(Promotores5[[#This Row],[Sell Out]]&gt;=300000,"A+",IF(Promotores5[[#This Row],[Sell Out]]&gt;=260000,"A",IF(Promotores5[[#This Row],[Sell Out]]&gt;=200000,"B","C")))</f>
        <v>C</v>
      </c>
      <c r="D31" s="61">
        <f>IFERROR(IFERROR(VLOOKUP(Promotores5[[#This Row],[Promotor]],#REF!,2,0),0)/IFERROR(VLOOKUP(Promotores5[[#This Row],[Promotor]],#REF!,4,0),0),0)</f>
        <v>0</v>
      </c>
      <c r="E31" s="70">
        <f>IFERROR(IF(OR(VLOOKUP(A31,Rotas[[PROMOTOR]:[REGIONAL]],2,0)="Pará Sul",VLOOKUP(A31,Rotas[[PROMOTOR]:[REGIONAL]],2,0)="Pará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1" s="61">
        <f>IFERROR(IFERROR(VLOOKUP(Promotores5[[#This Row],[Promotor]],#REF!,2,0),0)/IFERROR(VLOOKUP(Promotores5[[#This Row],[Promotor]],#REF!,4,0),0),0)</f>
        <v>0</v>
      </c>
      <c r="G31" s="70">
        <f>IFERROR(IF(OR(VLOOKUP(A31,Rotas[[PROMOTOR]:[REGIONAL]],2,0)="Pará Sul",VLOOKUP(A31,Rotas[[PROMOTOR]:[REGIONAL]],2,0)="Pará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1" s="61">
        <f>IFERROR(IFERROR(VLOOKUP(Promotores5[[#This Row],[Promotor]],#REF!,2,0),0)/IFERROR(VLOOKUP(Promotores5[[#This Row],[Promotor]],#REF!,4,0),0),0)</f>
        <v>0</v>
      </c>
      <c r="I31" s="70">
        <f>IFERROR(IF(OR(VLOOKUP(A31,Rotas[[PROMOTOR]:[REGIONAL]],2,0)="Pará Sul",VLOOKUP(A31,Rotas[[PROMOTOR]:[REGIONAL]],2,0)="Pará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1" s="61">
        <f>IFERROR(IFERROR(VLOOKUP(Promotores5[[#This Row],[Promotor]],#REF!,2,0),0)/IFERROR(VLOOKUP(Promotores5[[#This Row],[Promotor]],#REF!,4,0),0),0)</f>
        <v>0</v>
      </c>
      <c r="K31" s="70">
        <f>IFERROR(IF(OR(VLOOKUP(A31,Rotas[[PROMOTOR]:[REGIONAL]],2,0)="Pará Sul",VLOOKUP(A31,Rotas[[PROMOTOR]:[REGIONAL]],2,0)="Pará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1" s="61">
        <v>1</v>
      </c>
      <c r="M31" s="70">
        <f>IFERROR(IF(OR(VLOOKUP(A31,Rotas[[PROMOTOR]:[REGIONAL]],2,0)="Pará Sul",VLOOKUP(A31,Rotas[[PROMOTOR]:[REGIONAL]],2,0)="Pará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31" s="70">
        <f>IF(Promotores5[[#This Row],[Sell Out]]=0,0,IF($H$2&gt;=115%,225,IF($H$2&gt;=100%,150,IF($H$2&gt;=90%,75,0))))</f>
        <v>0</v>
      </c>
      <c r="O31" s="70">
        <v>191.25</v>
      </c>
      <c r="P31" s="75">
        <f>IFERROR(IFERROR(VLOOKUP(Promotores5[[#This Row],[Promotor]],#REF!,6,0),0)/IFERROR(VLOOKUP(Promotores5[[#This Row],[Promotor]],#REF!,5,0),0),0)</f>
        <v>0</v>
      </c>
      <c r="Q31" s="70">
        <f>IF(AND(P31&lt;=1%,P31&lt;&gt;0),225,0)</f>
        <v>0</v>
      </c>
      <c r="R31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291.25</v>
      </c>
      <c r="T31" s="97">
        <v>491.25</v>
      </c>
      <c r="V31" s="99">
        <f>(Promotores5[[#This Row],[Total+Treb]]/T31)-1</f>
        <v>-0.40712468193384221</v>
      </c>
      <c r="X31" s="97">
        <f>Promotores5[[#This Row],[Total+Treb]]-T31</f>
        <v>-200</v>
      </c>
    </row>
    <row r="32" spans="1:24" x14ac:dyDescent="0.3">
      <c r="A32" s="1" t="s">
        <v>83</v>
      </c>
      <c r="B32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2" s="1" t="str">
        <f>IF(Promotores5[[#This Row],[Sell Out]]&gt;=300000,"A+",IF(Promotores5[[#This Row],[Sell Out]]&gt;=260000,"A",IF(Promotores5[[#This Row],[Sell Out]]&gt;=200000,"B","C")))</f>
        <v>C</v>
      </c>
      <c r="D32" s="61">
        <f>IFERROR(IFERROR(VLOOKUP(Promotores5[[#This Row],[Promotor]],#REF!,2,0),0)/IFERROR(VLOOKUP(Promotores5[[#This Row],[Promotor]],#REF!,4,0),0),0)</f>
        <v>0</v>
      </c>
      <c r="E32" s="70">
        <f>IFERROR(IF(OR(VLOOKUP(A32,Rotas[[PROMOTOR]:[REGIONAL]],2,0)="Pará Sul",VLOOKUP(A32,Rotas[[PROMOTOR]:[REGIONAL]],2,0)="Pará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2" s="61">
        <f>IFERROR(IFERROR(VLOOKUP(Promotores5[[#This Row],[Promotor]],#REF!,2,0),0)/IFERROR(VLOOKUP(Promotores5[[#This Row],[Promotor]],#REF!,4,0),0),0)</f>
        <v>0</v>
      </c>
      <c r="G32" s="70">
        <f>IFERROR(IF(OR(VLOOKUP(A32,Rotas[[PROMOTOR]:[REGIONAL]],2,0)="Pará Sul",VLOOKUP(A32,Rotas[[PROMOTOR]:[REGIONAL]],2,0)="Pará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2" s="61">
        <f>IFERROR(IFERROR(VLOOKUP(Promotores5[[#This Row],[Promotor]],#REF!,2,0),0)/IFERROR(VLOOKUP(Promotores5[[#This Row],[Promotor]],#REF!,4,0),0),0)</f>
        <v>0</v>
      </c>
      <c r="I32" s="70">
        <f>IFERROR(IF(OR(VLOOKUP(A32,Rotas[[PROMOTOR]:[REGIONAL]],2,0)="Pará Sul",VLOOKUP(A32,Rotas[[PROMOTOR]:[REGIONAL]],2,0)="Pará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2" s="61">
        <f>IFERROR(IFERROR(VLOOKUP(Promotores5[[#This Row],[Promotor]],#REF!,2,0),0)/IFERROR(VLOOKUP(Promotores5[[#This Row],[Promotor]],#REF!,4,0),0),0)</f>
        <v>0</v>
      </c>
      <c r="K32" s="70">
        <f>IFERROR(IF(OR(VLOOKUP(A32,Rotas[[PROMOTOR]:[REGIONAL]],2,0)="Pará Sul",VLOOKUP(A32,Rotas[[PROMOTOR]:[REGIONAL]],2,0)="Pará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2" s="61">
        <v>1</v>
      </c>
      <c r="M32" s="70">
        <f>IFERROR(IF(OR(VLOOKUP(A32,Rotas[[PROMOTOR]:[REGIONAL]],2,0)="Pará Sul",VLOOKUP(A32,Rotas[[PROMOTOR]:[REGIONAL]],2,0)="Pará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32" s="70">
        <f>IF(Promotores5[[#This Row],[Sell Out]]=0,0,IF($H$2&gt;=115%,225,IF($H$2&gt;=100%,150,IF($H$2&gt;=90%,75,0))))</f>
        <v>0</v>
      </c>
      <c r="O32" s="70">
        <v>200</v>
      </c>
      <c r="P32" s="75">
        <f>IFERROR(IFERROR(VLOOKUP(Promotores5[[#This Row],[Promotor]],#REF!,6,0),0)/IFERROR(VLOOKUP(Promotores5[[#This Row],[Promotor]],#REF!,5,0),0),0)</f>
        <v>0</v>
      </c>
      <c r="Q32" s="70">
        <f>IF(AND(P32&lt;=1%,P32&lt;&gt;0),225,0)</f>
        <v>0</v>
      </c>
      <c r="R32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300</v>
      </c>
      <c r="T32" s="96">
        <v>955</v>
      </c>
      <c r="V32" s="98">
        <f>(Promotores5[[#This Row],[Total+Treb]]/T32)-1</f>
        <v>-0.68586387434554974</v>
      </c>
      <c r="X32" s="96">
        <f>Promotores5[[#This Row],[Total+Treb]]-T32</f>
        <v>-655</v>
      </c>
    </row>
    <row r="33" spans="1:24" x14ac:dyDescent="0.3">
      <c r="A33" s="1" t="s">
        <v>84</v>
      </c>
      <c r="B33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3" s="1" t="str">
        <f>IF(Promotores5[[#This Row],[Sell Out]]&gt;=300000,"A+",IF(Promotores5[[#This Row],[Sell Out]]&gt;=260000,"A",IF(Promotores5[[#This Row],[Sell Out]]&gt;=200000,"B","C")))</f>
        <v>C</v>
      </c>
      <c r="D33" s="61">
        <f>IFERROR(IFERROR(VLOOKUP(Promotores5[[#This Row],[Promotor]],#REF!,2,0),0)/IFERROR(VLOOKUP(Promotores5[[#This Row],[Promotor]],#REF!,4,0),0),0)</f>
        <v>0</v>
      </c>
      <c r="E33" s="70">
        <f>IFERROR(IF(OR(VLOOKUP(A33,Rotas[[PROMOTOR]:[REGIONAL]],2,0)="Pará Sul",VLOOKUP(A33,Rotas[[PROMOTOR]:[REGIONAL]],2,0)="Pará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3" s="61">
        <f>IFERROR(IFERROR(VLOOKUP(Promotores5[[#This Row],[Promotor]],#REF!,2,0),0)/IFERROR(VLOOKUP(Promotores5[[#This Row],[Promotor]],#REF!,4,0),0),0)</f>
        <v>0</v>
      </c>
      <c r="G33" s="70">
        <f>IFERROR(IF(OR(VLOOKUP(A33,Rotas[[PROMOTOR]:[REGIONAL]],2,0)="Pará Sul",VLOOKUP(A33,Rotas[[PROMOTOR]:[REGIONAL]],2,0)="Pará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3" s="61">
        <f>IFERROR(IFERROR(VLOOKUP(Promotores5[[#This Row],[Promotor]],#REF!,2,0),0)/IFERROR(VLOOKUP(Promotores5[[#This Row],[Promotor]],#REF!,4,0),0),0)</f>
        <v>0</v>
      </c>
      <c r="I33" s="70">
        <f>IFERROR(IF(OR(VLOOKUP(A33,Rotas[[PROMOTOR]:[REGIONAL]],2,0)="Pará Sul",VLOOKUP(A33,Rotas[[PROMOTOR]:[REGIONAL]],2,0)="Pará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3" s="61">
        <f>IFERROR(IFERROR(VLOOKUP(Promotores5[[#This Row],[Promotor]],#REF!,2,0),0)/IFERROR(VLOOKUP(Promotores5[[#This Row],[Promotor]],#REF!,4,0),0),0)</f>
        <v>0</v>
      </c>
      <c r="K33" s="70">
        <f>IFERROR(IF(OR(VLOOKUP(A33,Rotas[[PROMOTOR]:[REGIONAL]],2,0)="Pará Sul",VLOOKUP(A33,Rotas[[PROMOTOR]:[REGIONAL]],2,0)="Pará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3" s="61">
        <v>1</v>
      </c>
      <c r="M33" s="70">
        <f>IFERROR(IF(OR(VLOOKUP(A33,Rotas[[PROMOTOR]:[REGIONAL]],2,0)="Pará Sul",VLOOKUP(A33,Rotas[[PROMOTOR]:[REGIONAL]],2,0)="Pará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33" s="70">
        <f>IF(Promotores5[[#This Row],[Sell Out]]=0,0,IF($H$2&gt;=115%,225,IF($H$2&gt;=100%,150,IF($H$2&gt;=90%,75,0))))</f>
        <v>0</v>
      </c>
      <c r="O33" s="70">
        <v>210</v>
      </c>
      <c r="P33" s="75">
        <f>IFERROR(IFERROR(VLOOKUP(Promotores5[[#This Row],[Promotor]],#REF!,6,0),0)/IFERROR(VLOOKUP(Promotores5[[#This Row],[Promotor]],#REF!,5,0),0),0)</f>
        <v>0</v>
      </c>
      <c r="Q33" s="70">
        <f>IF(AND(P33&lt;=1%,P33&lt;&gt;0),225,0)</f>
        <v>0</v>
      </c>
      <c r="R33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310</v>
      </c>
      <c r="T33" s="97">
        <v>385</v>
      </c>
      <c r="V33" s="99">
        <f>(Promotores5[[#This Row],[Total+Treb]]/T33)-1</f>
        <v>-0.19480519480519476</v>
      </c>
      <c r="X33" s="97">
        <f>Promotores5[[#This Row],[Total+Treb]]-T33</f>
        <v>-75</v>
      </c>
    </row>
    <row r="34" spans="1:24" x14ac:dyDescent="0.3">
      <c r="A34" s="1" t="s">
        <v>85</v>
      </c>
      <c r="B34" s="70"/>
      <c r="D34" s="61"/>
      <c r="E34" s="70"/>
      <c r="F34" s="61"/>
      <c r="G34" s="70"/>
      <c r="H34" s="61"/>
      <c r="I34" s="70"/>
      <c r="J34" s="61"/>
      <c r="K34" s="70"/>
      <c r="L34" s="61"/>
      <c r="M34" s="70">
        <f>IFERROR(IF(OR(VLOOKUP(A34,Rotas[[PROMOTOR]:[REGIONAL]],2,0)="Pará Sul",VLOOKUP(A34,Rotas[[PROMOTOR]:[REGIONAL]],2,0)="Pará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34" s="70"/>
      <c r="O34" s="70"/>
      <c r="P34" s="75"/>
      <c r="Q34" s="70"/>
      <c r="R34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0</v>
      </c>
      <c r="T34" s="96"/>
      <c r="V34" s="98"/>
      <c r="X34" s="96">
        <f>Promotores5[[#This Row],[Total+Treb]]-T34</f>
        <v>0</v>
      </c>
    </row>
    <row r="35" spans="1:24" x14ac:dyDescent="0.3">
      <c r="A35" s="1" t="s">
        <v>86</v>
      </c>
      <c r="B35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5" s="1" t="str">
        <f>IF(Promotores5[[#This Row],[Sell Out]]&gt;=300000,"A+",IF(Promotores5[[#This Row],[Sell Out]]&gt;=260000,"A",IF(Promotores5[[#This Row],[Sell Out]]&gt;=200000,"B","C")))</f>
        <v>C</v>
      </c>
      <c r="D35" s="61">
        <f>IFERROR(IFERROR(VLOOKUP(Promotores5[[#This Row],[Promotor]],#REF!,2,0),0)/IFERROR(VLOOKUP(Promotores5[[#This Row],[Promotor]],#REF!,4,0),0),0)</f>
        <v>0</v>
      </c>
      <c r="E35" s="70">
        <f>IFERROR(IF(OR(VLOOKUP(A35,Rotas[[PROMOTOR]:[REGIONAL]],2,0)="Pará Sul",VLOOKUP(A35,Rotas[[PROMOTOR]:[REGIONAL]],2,0)="Pará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5" s="61">
        <f>IFERROR(IFERROR(VLOOKUP(Promotores5[[#This Row],[Promotor]],#REF!,2,0),0)/IFERROR(VLOOKUP(Promotores5[[#This Row],[Promotor]],#REF!,4,0),0),0)</f>
        <v>0</v>
      </c>
      <c r="G35" s="70">
        <f>IFERROR(IF(OR(VLOOKUP(A35,Rotas[[PROMOTOR]:[REGIONAL]],2,0)="Pará Sul",VLOOKUP(A35,Rotas[[PROMOTOR]:[REGIONAL]],2,0)="Pará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5" s="61">
        <f>IFERROR(IFERROR(VLOOKUP(Promotores5[[#This Row],[Promotor]],#REF!,2,0),0)/IFERROR(VLOOKUP(Promotores5[[#This Row],[Promotor]],#REF!,4,0),0),0)</f>
        <v>0</v>
      </c>
      <c r="I35" s="70">
        <f>IFERROR(IF(OR(VLOOKUP(A35,Rotas[[PROMOTOR]:[REGIONAL]],2,0)="Pará Sul",VLOOKUP(A35,Rotas[[PROMOTOR]:[REGIONAL]],2,0)="Pará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5" s="61">
        <f>IFERROR(IFERROR(VLOOKUP(Promotores5[[#This Row],[Promotor]],#REF!,2,0),0)/IFERROR(VLOOKUP(Promotores5[[#This Row],[Promotor]],#REF!,4,0),0),0)</f>
        <v>0</v>
      </c>
      <c r="K35" s="70">
        <f>IFERROR(IF(OR(VLOOKUP(A35,Rotas[[PROMOTOR]:[REGIONAL]],2,0)="Pará Sul",VLOOKUP(A35,Rotas[[PROMOTOR]:[REGIONAL]],2,0)="Pará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5" s="61">
        <v>1</v>
      </c>
      <c r="M35" s="70">
        <f>IFERROR(IF(OR(VLOOKUP(A35,Rotas[[PROMOTOR]:[REGIONAL]],2,0)="Pará Sul",VLOOKUP(A35,Rotas[[PROMOTOR]:[REGIONAL]],2,0)="Pará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35" s="70">
        <f>IF(Promotores5[[#This Row],[Sell Out]]=0,0,IF($H$2&gt;=115%,225,IF($H$2&gt;=100%,150,IF($H$2&gt;=90%,75,0))))</f>
        <v>0</v>
      </c>
      <c r="O35" s="70">
        <v>190</v>
      </c>
      <c r="P35" s="75">
        <f>IFERROR(IFERROR(VLOOKUP(Promotores5[[#This Row],[Promotor]],#REF!,6,0),0)/IFERROR(VLOOKUP(Promotores5[[#This Row],[Promotor]],#REF!,5,0),0),0)</f>
        <v>0</v>
      </c>
      <c r="Q35" s="70">
        <f>IF(AND(P35&lt;=1%,P35&lt;&gt;0),225,0)</f>
        <v>0</v>
      </c>
      <c r="R35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290</v>
      </c>
      <c r="T35" s="97">
        <v>440</v>
      </c>
      <c r="V35" s="99">
        <f>(Promotores5[[#This Row],[Total+Treb]]/T35)-1</f>
        <v>-0.34090909090909094</v>
      </c>
      <c r="X35" s="97">
        <f>Promotores5[[#This Row],[Total+Treb]]-T35</f>
        <v>-150</v>
      </c>
    </row>
    <row r="36" spans="1:24" x14ac:dyDescent="0.3">
      <c r="A36" s="1" t="s">
        <v>87</v>
      </c>
      <c r="B36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6" s="1" t="str">
        <f>IF(Promotores5[[#This Row],[Sell Out]]&gt;=300000,"A+",IF(Promotores5[[#This Row],[Sell Out]]&gt;=260000,"A",IF(Promotores5[[#This Row],[Sell Out]]&gt;=200000,"B","C")))</f>
        <v>C</v>
      </c>
      <c r="D36" s="61">
        <f>IFERROR(IFERROR(VLOOKUP(Promotores5[[#This Row],[Promotor]],#REF!,2,0),0)/IFERROR(VLOOKUP(Promotores5[[#This Row],[Promotor]],#REF!,4,0),0),0)</f>
        <v>0</v>
      </c>
      <c r="E36" s="70">
        <f>IFERROR(IF(OR(VLOOKUP(A36,Rotas[[PROMOTOR]:[REGIONAL]],2,0)="Pará Sul",VLOOKUP(A36,Rotas[[PROMOTOR]:[REGIONAL]],2,0)="Pará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6" s="61">
        <f>IFERROR(IFERROR(VLOOKUP(Promotores5[[#This Row],[Promotor]],#REF!,2,0),0)/IFERROR(VLOOKUP(Promotores5[[#This Row],[Promotor]],#REF!,4,0),0),0)</f>
        <v>0</v>
      </c>
      <c r="G36" s="70">
        <f>IFERROR(IF(OR(VLOOKUP(A36,Rotas[[PROMOTOR]:[REGIONAL]],2,0)="Pará Sul",VLOOKUP(A36,Rotas[[PROMOTOR]:[REGIONAL]],2,0)="Pará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6" s="61">
        <f>IFERROR(IFERROR(VLOOKUP(Promotores5[[#This Row],[Promotor]],#REF!,2,0),0)/IFERROR(VLOOKUP(Promotores5[[#This Row],[Promotor]],#REF!,4,0),0),0)</f>
        <v>0</v>
      </c>
      <c r="I36" s="70">
        <f>IFERROR(IF(OR(VLOOKUP(A36,Rotas[[PROMOTOR]:[REGIONAL]],2,0)="Pará Sul",VLOOKUP(A36,Rotas[[PROMOTOR]:[REGIONAL]],2,0)="Pará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6" s="61">
        <f>IFERROR(IFERROR(VLOOKUP(Promotores5[[#This Row],[Promotor]],#REF!,2,0),0)/IFERROR(VLOOKUP(Promotores5[[#This Row],[Promotor]],#REF!,4,0),0),0)</f>
        <v>0</v>
      </c>
      <c r="K36" s="70">
        <f>IFERROR(IF(OR(VLOOKUP(A36,Rotas[[PROMOTOR]:[REGIONAL]],2,0)="Pará Sul",VLOOKUP(A36,Rotas[[PROMOTOR]:[REGIONAL]],2,0)="Pará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6" s="61">
        <v>1</v>
      </c>
      <c r="M36" s="70">
        <f>IFERROR(IF(OR(VLOOKUP(A36,Rotas[[PROMOTOR]:[REGIONAL]],2,0)="Pará Sul",VLOOKUP(A36,Rotas[[PROMOTOR]:[REGIONAL]],2,0)="Pará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36" s="70">
        <f>IF(Promotores5[[#This Row],[Sell Out]]=0,0,IF($H$2&gt;=115%,225,IF($H$2&gt;=100%,150,IF($H$2&gt;=90%,75,0))))</f>
        <v>0</v>
      </c>
      <c r="O36" s="70">
        <v>0</v>
      </c>
      <c r="P36" s="75">
        <f>IFERROR(IFERROR(VLOOKUP(Promotores5[[#This Row],[Promotor]],#REF!,6,0),0)/IFERROR(VLOOKUP(Promotores5[[#This Row],[Promotor]],#REF!,5,0),0),0)</f>
        <v>0</v>
      </c>
      <c r="Q36" s="70">
        <f>IF(AND(P36&lt;=1%,P36&lt;&gt;0),225,0)</f>
        <v>0</v>
      </c>
      <c r="R36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0</v>
      </c>
      <c r="T36" s="96">
        <v>200</v>
      </c>
      <c r="V36" s="98">
        <f>(Promotores5[[#This Row],[Total+Treb]]/T36)-1</f>
        <v>-1</v>
      </c>
      <c r="X36" s="96">
        <f>Promotores5[[#This Row],[Total+Treb]]-T36</f>
        <v>-200</v>
      </c>
    </row>
    <row r="37" spans="1:24" x14ac:dyDescent="0.3">
      <c r="A37" s="1" t="s">
        <v>88</v>
      </c>
      <c r="B37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7" s="1" t="str">
        <f>IF(Promotores5[[#This Row],[Sell Out]]&gt;=300000,"A+",IF(Promotores5[[#This Row],[Sell Out]]&gt;=260000,"A",IF(Promotores5[[#This Row],[Sell Out]]&gt;=200000,"B","C")))</f>
        <v>C</v>
      </c>
      <c r="D37" s="61">
        <f>IFERROR(IFERROR(VLOOKUP(Promotores5[[#This Row],[Promotor]],#REF!,2,0),0)/IFERROR(VLOOKUP(Promotores5[[#This Row],[Promotor]],#REF!,4,0),0),0)</f>
        <v>0</v>
      </c>
      <c r="E37" s="70">
        <f>IFERROR(IF(OR(VLOOKUP(A37,Rotas[[PROMOTOR]:[REGIONAL]],2,0)="Pará Sul",VLOOKUP(A37,Rotas[[PROMOTOR]:[REGIONAL]],2,0)="Pará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7" s="61">
        <f>IFERROR(IFERROR(VLOOKUP(Promotores5[[#This Row],[Promotor]],#REF!,2,0),0)/IFERROR(VLOOKUP(Promotores5[[#This Row],[Promotor]],#REF!,4,0),0),0)</f>
        <v>0</v>
      </c>
      <c r="G37" s="70">
        <f>IFERROR(IF(OR(VLOOKUP(A37,Rotas[[PROMOTOR]:[REGIONAL]],2,0)="Pará Sul",VLOOKUP(A37,Rotas[[PROMOTOR]:[REGIONAL]],2,0)="Pará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7" s="61">
        <f>IFERROR(IFERROR(VLOOKUP(Promotores5[[#This Row],[Promotor]],#REF!,2,0),0)/IFERROR(VLOOKUP(Promotores5[[#This Row],[Promotor]],#REF!,4,0),0),0)</f>
        <v>0</v>
      </c>
      <c r="I37" s="70">
        <f>IFERROR(IF(OR(VLOOKUP(A37,Rotas[[PROMOTOR]:[REGIONAL]],2,0)="Pará Sul",VLOOKUP(A37,Rotas[[PROMOTOR]:[REGIONAL]],2,0)="Pará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7" s="61">
        <f>IFERROR(IFERROR(VLOOKUP(Promotores5[[#This Row],[Promotor]],#REF!,2,0),0)/IFERROR(VLOOKUP(Promotores5[[#This Row],[Promotor]],#REF!,4,0),0),0)</f>
        <v>0</v>
      </c>
      <c r="K37" s="70">
        <f>IFERROR(IF(OR(VLOOKUP(A37,Rotas[[PROMOTOR]:[REGIONAL]],2,0)="Pará Sul",VLOOKUP(A37,Rotas[[PROMOTOR]:[REGIONAL]],2,0)="Pará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7" s="61">
        <v>1</v>
      </c>
      <c r="M37" s="70">
        <f>IFERROR(IF(OR(VLOOKUP(A37,Rotas[[PROMOTOR]:[REGIONAL]],2,0)="Pará Sul",VLOOKUP(A37,Rotas[[PROMOTOR]:[REGIONAL]],2,0)="Pará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100</v>
      </c>
      <c r="N37" s="70">
        <f>IF(Promotores5[[#This Row],[Sell Out]]=0,0,IF($H$2&gt;=115%,225,IF($H$2&gt;=100%,150,IF($H$2&gt;=90%,75,0))))</f>
        <v>0</v>
      </c>
      <c r="O37" s="70">
        <v>190</v>
      </c>
      <c r="P37" s="75">
        <f>IFERROR(IFERROR(VLOOKUP(Promotores5[[#This Row],[Promotor]],#REF!,6,0),0)/IFERROR(VLOOKUP(Promotores5[[#This Row],[Promotor]],#REF!,5,0),0),0)</f>
        <v>0</v>
      </c>
      <c r="Q37" s="70">
        <f>IF(AND(P37&lt;=1%,P37&lt;&gt;0),225,0)</f>
        <v>0</v>
      </c>
      <c r="R37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290</v>
      </c>
      <c r="T37" s="97">
        <v>640</v>
      </c>
      <c r="V37" s="99">
        <f>(Promotores5[[#This Row],[Total+Treb]]/T37)-1</f>
        <v>-0.546875</v>
      </c>
      <c r="X37" s="97">
        <f>Promotores5[[#This Row],[Total+Treb]]-T37</f>
        <v>-350</v>
      </c>
    </row>
    <row r="38" spans="1:24" x14ac:dyDescent="0.3">
      <c r="A38" s="1" t="s">
        <v>89</v>
      </c>
      <c r="B38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8" s="1" t="str">
        <f>IF(Promotores5[[#This Row],[Sell Out]]&gt;=300000,"A+",IF(Promotores5[[#This Row],[Sell Out]]&gt;=260000,"A",IF(Promotores5[[#This Row],[Sell Out]]&gt;=200000,"B","C")))</f>
        <v>C</v>
      </c>
      <c r="D38" s="61">
        <f>IFERROR(IFERROR(VLOOKUP(Promotores5[[#This Row],[Promotor]],#REF!,2,0),0)/IFERROR(VLOOKUP(Promotores5[[#This Row],[Promotor]],#REF!,4,0),0),0)</f>
        <v>0</v>
      </c>
      <c r="E38" s="70">
        <f>IFERROR(IF(OR(VLOOKUP(A38,Rotas[[PROMOTOR]:[REGIONAL]],2,0)="Pará Sul",VLOOKUP(A38,Rotas[[PROMOTOR]:[REGIONAL]],2,0)="Pará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8" s="61">
        <f>IFERROR(IFERROR(VLOOKUP(Promotores5[[#This Row],[Promotor]],#REF!,2,0),0)/IFERROR(VLOOKUP(Promotores5[[#This Row],[Promotor]],#REF!,4,0),0),0)</f>
        <v>0</v>
      </c>
      <c r="G38" s="70">
        <f>IFERROR(IF(OR(VLOOKUP(A38,Rotas[[PROMOTOR]:[REGIONAL]],2,0)="Pará Sul",VLOOKUP(A38,Rotas[[PROMOTOR]:[REGIONAL]],2,0)="Pará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8" s="61">
        <f>IFERROR(IFERROR(VLOOKUP(Promotores5[[#This Row],[Promotor]],#REF!,2,0),0)/IFERROR(VLOOKUP(Promotores5[[#This Row],[Promotor]],#REF!,4,0),0),0)</f>
        <v>0</v>
      </c>
      <c r="I38" s="70">
        <f>IFERROR(IF(OR(VLOOKUP(A38,Rotas[[PROMOTOR]:[REGIONAL]],2,0)="Pará Sul",VLOOKUP(A38,Rotas[[PROMOTOR]:[REGIONAL]],2,0)="Pará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8" s="61">
        <f>IFERROR(IFERROR(VLOOKUP(Promotores5[[#This Row],[Promotor]],#REF!,2,0),0)/IFERROR(VLOOKUP(Promotores5[[#This Row],[Promotor]],#REF!,4,0),0),0)</f>
        <v>0</v>
      </c>
      <c r="K38" s="70">
        <f>IFERROR(IF(OR(VLOOKUP(A38,Rotas[[PROMOTOR]:[REGIONAL]],2,0)="Pará Sul",VLOOKUP(A38,Rotas[[PROMOTOR]:[REGIONAL]],2,0)="Pará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8" s="61">
        <v>1</v>
      </c>
      <c r="M38" s="70">
        <f>IFERROR(IF(OR(VLOOKUP(A38,Rotas[[PROMOTOR]:[REGIONAL]],2,0)="Pará Sul",VLOOKUP(A38,Rotas[[PROMOTOR]:[REGIONAL]],2,0)="Pará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38" s="70">
        <f>IF(Promotores5[[#This Row],[Sell Out]]=0,0,IF($H$2&gt;=115%,225,IF($H$2&gt;=100%,150,IF($H$2&gt;=90%,75,0))))</f>
        <v>0</v>
      </c>
      <c r="O38" s="70">
        <v>130</v>
      </c>
      <c r="P38" s="75">
        <f>IFERROR(IFERROR(VLOOKUP(Promotores5[[#This Row],[Promotor]],#REF!,6,0),0)/IFERROR(VLOOKUP(Promotores5[[#This Row],[Promotor]],#REF!,5,0),0),0)</f>
        <v>0</v>
      </c>
      <c r="Q38" s="70">
        <f>IF(AND(P38&lt;=1%,P38&lt;&gt;0),225,0)</f>
        <v>0</v>
      </c>
      <c r="R38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130</v>
      </c>
      <c r="T38" s="96">
        <v>330</v>
      </c>
      <c r="V38" s="98">
        <f>(Promotores5[[#This Row],[Total+Treb]]/T38)-1</f>
        <v>-0.60606060606060608</v>
      </c>
      <c r="X38" s="96">
        <f>Promotores5[[#This Row],[Total+Treb]]-T38</f>
        <v>-200</v>
      </c>
    </row>
    <row r="39" spans="1:24" x14ac:dyDescent="0.3">
      <c r="A39" s="1" t="s">
        <v>91</v>
      </c>
      <c r="B39" s="70">
        <f>IFERROR(VLOOKUP(Promotores5[[#This Row],[Promotor]],#REF!,2,0),0)+IFERROR(VLOOKUP(Promotores5[[#This Row],[Promotor]],#REF!,2,0),0)+IFERROR(VLOOKUP(Promotores5[[#This Row],[Promotor]],#REF!,2,0),0)+IFERROR(VLOOKUP(Promotores5[[#This Row],[Promotor]],#REF!,2,0),0)</f>
        <v>0</v>
      </c>
      <c r="C39" s="1" t="str">
        <f>IF(Promotores5[[#This Row],[Sell Out]]&gt;=300000,"A+",IF(Promotores5[[#This Row],[Sell Out]]&gt;=260000,"A",IF(Promotores5[[#This Row],[Sell Out]]&gt;=200000,"B","C")))</f>
        <v>C</v>
      </c>
      <c r="D39" s="61">
        <f>IFERROR(IFERROR(VLOOKUP(Promotores5[[#This Row],[Promotor]],#REF!,2,0),0)/IFERROR(VLOOKUP(Promotores5[[#This Row],[Promotor]],#REF!,4,0),0),0)</f>
        <v>0</v>
      </c>
      <c r="E39" s="70">
        <f>IFERROR(IF(OR(VLOOKUP(A39,Rotas[[PROMOTOR]:[REGIONAL]],2,0)="Pará Sul",VLOOKUP(A39,Rotas[[PROMOTOR]:[REGIONAL]],2,0)="Pará Norte"),IF($C$2=$E$5,(IF(Promotores5[[#This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Premiação'!$T$4:$W$7,2,0),0)))),IF($C$1=$E$5,(IF(Promotores5[[#This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Premiação'!$T$4:$W$7,2,0),0))))*2,IF(Promotores5[[#This Row],[% Avi]]&gt;=115%,VLOOKUP(Promotores5[[#This Row],[Nível]],'Regras Premiação'!$T$4:$W$7,4,0),IF(Promotores5[[#This Row],[% Avi]]&gt;=100%,VLOOKUP(Promotores5[[#This Row],[Nível]],'Regras Premiação'!$T$4:$W$7,3,0),IF(Promotores5[[#This Row],[% Avi]]&gt;=90%,VLOOKUP(Promotores5[[#This Row],[Nível]],'Regras Premiação'!$T$4:$W$7,2,0),0))))),0)</f>
        <v>0</v>
      </c>
      <c r="F39" s="61">
        <f>IFERROR(IFERROR(VLOOKUP(Promotores5[[#This Row],[Promotor]],#REF!,2,0),0)/IFERROR(VLOOKUP(Promotores5[[#This Row],[Promotor]],#REF!,4,0),0),0)</f>
        <v>0</v>
      </c>
      <c r="G39" s="70">
        <f>IFERROR(IF(OR(VLOOKUP(A39,Rotas[[PROMOTOR]:[REGIONAL]],2,0)="Pará Sul",VLOOKUP(A39,Rotas[[PROMOTOR]:[REGIONAL]],2,0)="Pará Norte"),IF($C$2=$G$5,(IF(Promotores5[[#This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Premiação'!$T$4:$W$7,2,0),0)))),IF($C$1=$G$5,(IF(Promotores5[[#This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Premiação'!$T$4:$W$7,2,0),0))))*2,IF(Promotores5[[#This Row],[% Capp]]&gt;=115%,VLOOKUP(Promotores5[[#This Row],[Nível]],'Regras Premiação'!$T$4:$W$7,4,0),IF(Promotores5[[#This Row],[% Capp]]&gt;=100%,VLOOKUP(Promotores5[[#This Row],[Nível]],'Regras Premiação'!$T$4:$W$7,3,0),IF(Promotores5[[#This Row],[% Capp]]&gt;=90%,VLOOKUP(Promotores5[[#This Row],[Nível]],'Regras Premiação'!$T$4:$W$7,2,0),0))))),0)</f>
        <v>0</v>
      </c>
      <c r="H39" s="61">
        <f>IFERROR(IFERROR(VLOOKUP(Promotores5[[#This Row],[Promotor]],#REF!,2,0),0)/IFERROR(VLOOKUP(Promotores5[[#This Row],[Promotor]],#REF!,4,0),0),0)</f>
        <v>0</v>
      </c>
      <c r="I39" s="70">
        <f>IFERROR(IF(OR(VLOOKUP(A39,Rotas[[PROMOTOR]:[REGIONAL]],2,0)="Pará Sul",VLOOKUP(A39,Rotas[[PROMOTOR]:[REGIONAL]],2,0)="Pará Norte"),IF($C$2=$I$5,(IF(Promotores5[[#This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Premiação'!$T$4:$W$7,2,0),0)))),IF($C$1=$I$5,(IF(Promotores5[[#This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Premiação'!$T$4:$W$7,2,0),0))))*2,IF(Promotores5[[#This Row],[% Fam]]&gt;=115%,VLOOKUP(Promotores5[[#This Row],[Nível]],'Regras Premiação'!$T$4:$W$7,4,0),IF(Promotores5[[#This Row],[% Fam]]&gt;=100%,VLOOKUP(Promotores5[[#This Row],[Nível]],'Regras Premiação'!$T$4:$W$7,3,0),IF(Promotores5[[#This Row],[% Fam]]&gt;=90%,VLOOKUP(Promotores5[[#This Row],[Nível]],'Regras Premiação'!$T$4:$W$7,2,0),0))))),0)</f>
        <v>0</v>
      </c>
      <c r="J39" s="61">
        <f>IFERROR(IFERROR(VLOOKUP(Promotores5[[#This Row],[Promotor]],#REF!,2,0),0)/IFERROR(VLOOKUP(Promotores5[[#This Row],[Promotor]],#REF!,4,0),0),0)</f>
        <v>0</v>
      </c>
      <c r="K39" s="70">
        <f>IFERROR(IF(OR(VLOOKUP(A39,Rotas[[PROMOTOR]:[REGIONAL]],2,0)="Pará Sul",VLOOKUP(A39,Rotas[[PROMOTOR]:[REGIONAL]],2,0)="Pará Norte"),IF($C$2=$K$5,(IF(Promotores5[[#This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Premiação'!$T$4:$W$7,2,0),0)))),IF($C$1=$K$5,(IF(Promotores5[[#This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Premiação'!$T$4:$W$7,2,0),0))))*2,IF(Promotores5[[#This Row],[% S&amp;V]]&gt;=115%,VLOOKUP(Promotores5[[#This Row],[Nível]],'Regras Premiação'!$T$4:$W$7,4,0),IF(Promotores5[[#This Row],[% S&amp;V]]&gt;=100%,VLOOKUP(Promotores5[[#This Row],[Nível]],'Regras Premiação'!$T$4:$W$7,3,0),IF(Promotores5[[#This Row],[% S&amp;V]]&gt;=90%,VLOOKUP(Promotores5[[#This Row],[Nível]],'Regras Premiação'!$T$4:$W$7,2,0),0))))),0)</f>
        <v>0</v>
      </c>
      <c r="L39" s="61">
        <v>1</v>
      </c>
      <c r="M39" s="70">
        <f>IFERROR(IF(OR(VLOOKUP(A39,Rotas[[PROMOTOR]:[REGIONAL]],2,0)="Pará Sul",VLOOKUP(A39,Rotas[[PROMOTOR]:[REGIONAL]],2,0)="Pará Norte"),IF($C$2=$G$5,(IF(Promotores5[[#This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Premiação'!$T$4:$W$7,2,0),0)))),IF($C$1=$G$5,(IF(Promotores5[[#This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Premiação'!$T$4:$W$7,2,0),0))))*2,IF(Promotores5[[#This Row],[% Treb]]&gt;=115%,VLOOKUP(Promotores5[[#This Row],[Nível]],'Regras Premiação'!$T$4:$W$7,4,0),IF(Promotores5[[#This Row],[% Treb]]&gt;=100%,VLOOKUP(Promotores5[[#This Row],[Nível]],'Regras Premiação'!$T$4:$W$7,3,0),IF(Promotores5[[#This Row],[% Treb]]&gt;=90%,VLOOKUP(Promotores5[[#This Row],[Nível]],'Regras Premiação'!$T$4:$W$7,2,0),0))))),0)</f>
        <v>0</v>
      </c>
      <c r="N39" s="70">
        <f>IF(Promotores5[[#This Row],[Sell Out]]=0,0,IF($H$2&gt;=115%,225,IF($H$2&gt;=100%,150,IF($H$2&gt;=90%,75,0))))</f>
        <v>0</v>
      </c>
      <c r="O39" s="70">
        <v>160</v>
      </c>
      <c r="P39" s="75">
        <f>IFERROR(IFERROR(VLOOKUP(Promotores5[[#This Row],[Promotor]],#REF!,6,0),0)/IFERROR(VLOOKUP(Promotores5[[#This Row],[Promotor]],#REF!,5,0),0),0)</f>
        <v>0</v>
      </c>
      <c r="Q39" s="70">
        <f>IF(AND(P39&lt;=1%,P39&lt;&gt;0),225,0)</f>
        <v>0</v>
      </c>
      <c r="R39" s="70">
        <f>SUM(Promotores5[[#This Row],[R$ Avi]],Promotores5[[#This Row],[R$ Capp]],Promotores5[[#This Row],[R$ Fam]],Promotores5[[#This Row],[R$ S&amp;V]],Promotores5[[#This Row],[Master]],Promotores5[[#This Row],[Gestor]],Promotores5[[#This Row],[R$ Dev]],Promotores5[[#This Row],[R$ Treb]])</f>
        <v>160</v>
      </c>
      <c r="T39" s="97">
        <v>535</v>
      </c>
      <c r="V39" s="99">
        <f>(Promotores5[[#This Row],[Total+Treb]]/T39)-1</f>
        <v>-0.7009345794392523</v>
      </c>
      <c r="X39" s="97">
        <f>Promotores5[[#This Row],[Total+Treb]]-T39</f>
        <v>-375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4"/>
  <sheetViews>
    <sheetView showGridLines="0" topLeftCell="A9" zoomScale="85" zoomScaleNormal="85" workbookViewId="0">
      <selection activeCell="B8" sqref="B8"/>
    </sheetView>
  </sheetViews>
  <sheetFormatPr defaultColWidth="9.109375" defaultRowHeight="14.4" x14ac:dyDescent="0.3"/>
  <cols>
    <col min="1" max="1" width="21.77734375" style="1" bestFit="1" customWidth="1"/>
    <col min="2" max="2" width="14.44140625" style="1" bestFit="1" customWidth="1"/>
    <col min="3" max="3" width="11.44140625" style="1" bestFit="1" customWidth="1"/>
    <col min="4" max="4" width="11.6640625" style="1" bestFit="1" customWidth="1"/>
    <col min="5" max="5" width="12.5546875" style="1" bestFit="1" customWidth="1"/>
    <col min="6" max="6" width="13.6640625" style="1" bestFit="1" customWidth="1"/>
    <col min="7" max="7" width="14.5546875" style="1" bestFit="1" customWidth="1"/>
    <col min="8" max="8" width="12.6640625" style="1" bestFit="1" customWidth="1"/>
    <col min="9" max="9" width="13.5546875" style="1" bestFit="1" customWidth="1"/>
    <col min="10" max="10" width="12.5546875" style="1" bestFit="1" customWidth="1"/>
    <col min="11" max="11" width="13.44140625" style="1" bestFit="1" customWidth="1"/>
    <col min="12" max="12" width="13.5546875" style="1" bestFit="1" customWidth="1"/>
    <col min="13" max="13" width="13.44140625" style="1" bestFit="1" customWidth="1"/>
    <col min="14" max="14" width="12.5546875" style="1" bestFit="1" customWidth="1"/>
    <col min="15" max="16" width="13.44140625" style="1" bestFit="1" customWidth="1"/>
    <col min="17" max="17" width="15.109375" style="1" bestFit="1" customWidth="1"/>
    <col min="18" max="19" width="12.6640625" style="1" bestFit="1" customWidth="1"/>
    <col min="20" max="20" width="9.109375" style="1"/>
    <col min="21" max="21" width="20" style="1" bestFit="1" customWidth="1"/>
    <col min="22" max="22" width="17" style="1" bestFit="1" customWidth="1"/>
    <col min="23" max="23" width="11.44140625" style="1" bestFit="1" customWidth="1"/>
    <col min="24" max="24" width="12.109375" style="1" bestFit="1" customWidth="1"/>
    <col min="25" max="25" width="12.5546875" style="1" bestFit="1" customWidth="1"/>
    <col min="26" max="26" width="17.109375" style="1" bestFit="1" customWidth="1"/>
    <col min="27" max="27" width="14.5546875" style="1" bestFit="1" customWidth="1"/>
    <col min="28" max="28" width="14.109375" style="1" bestFit="1" customWidth="1"/>
    <col min="29" max="29" width="13.5546875" style="1" bestFit="1" customWidth="1"/>
    <col min="30" max="30" width="12.88671875" style="1" bestFit="1" customWidth="1"/>
    <col min="31" max="31" width="13.6640625" style="1" bestFit="1" customWidth="1"/>
    <col min="32" max="32" width="13.33203125" style="1" bestFit="1" customWidth="1"/>
    <col min="33" max="33" width="14.109375" style="1" bestFit="1" customWidth="1"/>
    <col min="34" max="34" width="13.5546875" style="1" bestFit="1" customWidth="1"/>
    <col min="35" max="35" width="13.33203125" style="1" bestFit="1" customWidth="1"/>
    <col min="36" max="36" width="12.5546875" style="1" bestFit="1" customWidth="1"/>
    <col min="37" max="38" width="13.44140625" style="1" bestFit="1" customWidth="1"/>
    <col min="39" max="16384" width="9.109375" style="1"/>
  </cols>
  <sheetData>
    <row r="1" spans="1:38" x14ac:dyDescent="0.3">
      <c r="A1" s="187" t="s">
        <v>1</v>
      </c>
      <c r="B1" s="63"/>
      <c r="C1" s="63"/>
      <c r="E1" s="181"/>
      <c r="F1" s="6" t="s">
        <v>4</v>
      </c>
      <c r="H1" s="6" t="s">
        <v>18</v>
      </c>
    </row>
    <row r="2" spans="1:38" ht="15" thickBot="1" x14ac:dyDescent="0.35">
      <c r="A2" s="187" t="s">
        <v>2</v>
      </c>
      <c r="B2" s="63"/>
      <c r="C2" s="63"/>
      <c r="F2" s="7" t="s">
        <v>626</v>
      </c>
      <c r="H2" s="102">
        <f>IFERROR(SUM(Basef[Tendencia])/SUM(Basef[META]),0)</f>
        <v>0.78906184341036245</v>
      </c>
    </row>
    <row r="3" spans="1:38" x14ac:dyDescent="0.3">
      <c r="B3" s="63" t="s">
        <v>509</v>
      </c>
      <c r="E3" s="62"/>
    </row>
    <row r="4" spans="1:38" x14ac:dyDescent="0.3">
      <c r="B4" s="63">
        <v>50000</v>
      </c>
    </row>
    <row r="5" spans="1:38" x14ac:dyDescent="0.3">
      <c r="E5" s="63" t="s">
        <v>3</v>
      </c>
      <c r="F5" s="63"/>
      <c r="G5" s="63" t="s">
        <v>92</v>
      </c>
      <c r="H5" s="63"/>
      <c r="I5" s="63" t="s">
        <v>93</v>
      </c>
      <c r="J5" s="63"/>
      <c r="K5" s="63" t="s">
        <v>0</v>
      </c>
      <c r="Y5" s="63" t="s">
        <v>3</v>
      </c>
      <c r="Z5" s="63"/>
      <c r="AA5" s="63" t="s">
        <v>92</v>
      </c>
      <c r="AB5" s="63"/>
      <c r="AC5" s="63" t="s">
        <v>93</v>
      </c>
      <c r="AD5" s="63"/>
      <c r="AE5" s="63" t="s">
        <v>0</v>
      </c>
      <c r="AF5" s="63"/>
      <c r="AG5" s="63" t="s">
        <v>376</v>
      </c>
    </row>
    <row r="6" spans="1:38" x14ac:dyDescent="0.3">
      <c r="A6" s="68"/>
      <c r="B6" s="68"/>
      <c r="C6" s="68"/>
      <c r="D6" s="68"/>
      <c r="E6" s="69">
        <f>SUBTOTAL(109,Promotores[R$ Avi])</f>
        <v>760</v>
      </c>
      <c r="F6" s="69"/>
      <c r="G6" s="69">
        <f>SUBTOTAL(109,Promotores[R$ Capp])</f>
        <v>565</v>
      </c>
      <c r="H6" s="69"/>
      <c r="I6" s="69">
        <f>SUBTOTAL(109,Promotores[R$ Fam])</f>
        <v>2225</v>
      </c>
      <c r="J6" s="69"/>
      <c r="K6" s="69">
        <f>SUBTOTAL(109,Promotores[R$ Pinh])</f>
        <v>295</v>
      </c>
      <c r="L6" s="69">
        <f>SUBTOTAL(109,Promotores[Master])</f>
        <v>0</v>
      </c>
      <c r="M6" s="69">
        <f>SUBTOTAL(109,Promotores[R$ APP])</f>
        <v>4050</v>
      </c>
      <c r="N6" s="69"/>
      <c r="O6" s="69">
        <f>SUBTOTAL(109,Promotores[R$ Dev])</f>
        <v>3375</v>
      </c>
      <c r="P6" s="100">
        <f>SUBTOTAL(109,Promotores[Total])</f>
        <v>14015</v>
      </c>
      <c r="Y6" s="69">
        <f>SUBTOTAL(109,Coordenadores[R$ Avi])+SUM(Supervisores[R$ Avi])+SUM(Assistentes[R$ Avi])</f>
        <v>135</v>
      </c>
      <c r="AA6" s="69">
        <f>SUBTOTAL(109,Coordenadores[R$ Capp])+SUM(Supervisores[R$ Capp])+SUM(Assistentes[R$ Capp])</f>
        <v>0</v>
      </c>
      <c r="AC6" s="69">
        <f>SUBTOTAL(109,Coordenadores[R$ Fam])+SUM(Supervisores[R$ Fam])+SUM(Assistentes[R$ Fam])</f>
        <v>1552.5</v>
      </c>
      <c r="AE6" s="69">
        <f>SUBTOTAL(109,Coordenadores[R$ S&amp;V])</f>
        <v>0</v>
      </c>
      <c r="AF6" s="69"/>
      <c r="AG6" s="69"/>
      <c r="AH6" s="69">
        <f>SUBTOTAL(109,Coordenadores[Master])</f>
        <v>0</v>
      </c>
      <c r="AI6" s="69">
        <f>SUBTOTAL(109,Coordenadores[Gestor])</f>
        <v>1800</v>
      </c>
      <c r="AJ6" s="69"/>
      <c r="AK6" s="69">
        <f>SUBTOTAL(109,Promotores[R$ Dev])</f>
        <v>3375</v>
      </c>
      <c r="AL6" s="69">
        <f>SUBTOTAL(109,Coordenadores[Total])+SUBTOTAL(109,Supervisores[Total])+SUBTOTAL(109,Assistentes[Total])+SUBTOTAL(109,Assistentes16[Total])</f>
        <v>4612.5</v>
      </c>
    </row>
    <row r="7" spans="1:38" ht="15.6" x14ac:dyDescent="0.3">
      <c r="A7" s="8" t="s">
        <v>5</v>
      </c>
      <c r="B7" s="8" t="s">
        <v>94</v>
      </c>
      <c r="C7" s="8" t="s">
        <v>58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610</v>
      </c>
      <c r="K7" s="8" t="s">
        <v>611</v>
      </c>
      <c r="L7" s="8" t="s">
        <v>14</v>
      </c>
      <c r="M7" s="8" t="s">
        <v>576</v>
      </c>
      <c r="N7" s="8" t="s">
        <v>15</v>
      </c>
      <c r="O7" s="8" t="s">
        <v>16</v>
      </c>
      <c r="P7" s="8" t="s">
        <v>17</v>
      </c>
      <c r="Q7" s="8" t="s">
        <v>427</v>
      </c>
      <c r="R7" s="8" t="s">
        <v>577</v>
      </c>
      <c r="S7" s="8" t="s">
        <v>508</v>
      </c>
      <c r="U7" s="71" t="s">
        <v>25</v>
      </c>
      <c r="V7" s="71" t="s">
        <v>94</v>
      </c>
      <c r="W7" s="71" t="s">
        <v>58</v>
      </c>
      <c r="X7" s="71" t="s">
        <v>3</v>
      </c>
      <c r="Y7" s="71" t="s">
        <v>7</v>
      </c>
      <c r="Z7" s="71" t="s">
        <v>92</v>
      </c>
      <c r="AA7" s="71" t="s">
        <v>9</v>
      </c>
      <c r="AB7" s="71" t="s">
        <v>93</v>
      </c>
      <c r="AC7" s="71" t="s">
        <v>11</v>
      </c>
      <c r="AD7" s="71" t="s">
        <v>12</v>
      </c>
      <c r="AE7" s="71" t="s">
        <v>13</v>
      </c>
      <c r="AF7" s="71" t="s">
        <v>344</v>
      </c>
      <c r="AG7" s="71" t="s">
        <v>345</v>
      </c>
      <c r="AH7" s="71" t="s">
        <v>14</v>
      </c>
      <c r="AI7" s="71" t="s">
        <v>19</v>
      </c>
      <c r="AJ7" s="71" t="s">
        <v>15</v>
      </c>
      <c r="AK7" s="71" t="s">
        <v>16</v>
      </c>
      <c r="AL7" s="71" t="s">
        <v>17</v>
      </c>
    </row>
    <row r="8" spans="1:38" x14ac:dyDescent="0.3">
      <c r="A8" s="1" t="s">
        <v>548</v>
      </c>
      <c r="B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8" s="1" t="str">
        <f>IF(Promotores[[#This Row],[Sell Out]]&gt;=300000,"A+",IF(Promotores[[#This Row],[Sell Out]]&gt;=260000,"A",IF(Promotores[[#This Row],[Sell Out]]&gt;=200000,"B","C")))</f>
        <v>C</v>
      </c>
      <c r="D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8" s="70">
        <f>IFERROR(IF(Promotores[[#This Row],[Sell Out]]=0,0,IF($H$2&gt;=115%,225,IF($H$2&gt;=100%,150,IF($H$2&gt;=90%,75,0)))),0)</f>
        <v>0</v>
      </c>
      <c r="M8" s="70">
        <f>IF(Promotores[[#This Row],[Sell Out]]=0,0,IFERROR(IF(Promotores[[#This Row],[% App]]&gt;=100%,225,IF(Promotores[[#This Row],[% App]]&gt;=90%,112.5,0)),0))</f>
        <v>0</v>
      </c>
      <c r="N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8" s="70">
        <f>IF(AND(N8&lt;=1.5%,Promotores[[#This Row],[Sell Out]]&gt;0,Promotores[[#This Row],[% Avi]]&lt;&gt;0),225,0)</f>
        <v>0</v>
      </c>
      <c r="P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8" s="125" t="str">
        <f>IFERROR(VLOOKUP(Promotores[[#This Row],[Promotor]],Base_APP[[Promotor]:[%]],6,0),"")</f>
        <v/>
      </c>
      <c r="S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8" s="1" t="s">
        <v>308</v>
      </c>
      <c r="V8" s="70">
        <f>SUMIFS(Basef[Tendencia],Basef[Cooredenador],Coordenadores[[#This Row],[Coordenador]])</f>
        <v>3377933.1999999997</v>
      </c>
      <c r="W8" s="1" t="str">
        <f>IF(Coordenadores[[#This Row],[Sell Out]]&gt;=1750000,"A+",IF(Coordenadores[[#This Row],[Sell Out]]&gt;=1000000,"A","B"))</f>
        <v>A+</v>
      </c>
      <c r="X8" s="61">
        <f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f>
        <v>0.90318651855592025</v>
      </c>
      <c r="Y8" s="70">
        <f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f>
        <v>135</v>
      </c>
      <c r="Z8" s="61">
        <f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f>
        <v>0.80986365647743819</v>
      </c>
      <c r="AA8" s="70">
        <f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f>
        <v>0</v>
      </c>
      <c r="AB8" s="61">
        <f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f>
        <v>0.87689498281786937</v>
      </c>
      <c r="AC8" s="70">
        <f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f>
        <v>0</v>
      </c>
      <c r="AD8" s="61">
        <f>IFERROR(VLOOKUP(Coordenadores[[#This Row],[Coordenador]],#REF!,2,0)/VLOOKUP(Coordenadores[[#This Row],[Coordenador]],#REF!,4,0),0)</f>
        <v>0</v>
      </c>
      <c r="AE8" s="70"/>
      <c r="AF8" s="61">
        <f>AF9</f>
        <v>0</v>
      </c>
      <c r="AG8" s="70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8" s="70">
        <f>IF(Coordenadores[[#This Row],[Sell Out]]=0,0,IF($H$2&gt;=115%,300,IF($H$2&gt;=100%,200,IF($H$2&gt;=90%,100,0))))</f>
        <v>0</v>
      </c>
      <c r="AI8" s="70">
        <v>300</v>
      </c>
      <c r="AJ8" s="75">
        <f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f>
        <v>1.8725616151381668E-2</v>
      </c>
      <c r="AK8" s="70">
        <f>IF(AND(Coordenadores[[#This Row],[% Dev]]&lt;=1.5%,Coordenadores[[#This Row],[% Dev]]&lt;&gt;0),300,0)</f>
        <v>0</v>
      </c>
      <c r="AL8" s="70">
        <f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f>
        <v>435</v>
      </c>
    </row>
    <row r="9" spans="1:38" x14ac:dyDescent="0.3">
      <c r="A9" s="1" t="s">
        <v>583</v>
      </c>
      <c r="B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9" s="1" t="str">
        <f>IF(Promotores[[#This Row],[Sell Out]]&gt;=300000,"A+",IF(Promotores[[#This Row],[Sell Out]]&gt;=260000,"A",IF(Promotores[[#This Row],[Sell Out]]&gt;=200000,"B","C")))</f>
        <v>C</v>
      </c>
      <c r="D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9" s="70">
        <f>IFERROR(IF(Promotores[[#This Row],[Sell Out]]=0,0,IF($H$2&gt;=115%,225,IF($H$2&gt;=100%,150,IF($H$2&gt;=90%,75,0)))),0)</f>
        <v>0</v>
      </c>
      <c r="M9" s="70">
        <f>IF(Promotores[[#This Row],[Sell Out]]=0,0,IFERROR(IF(Promotores[[#This Row],[% App]]&gt;=100%,225,IF(Promotores[[#This Row],[% App]]&gt;=90%,112.5,0)),0))</f>
        <v>0</v>
      </c>
      <c r="N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9" s="70">
        <f>IF(AND(N9&lt;=1.5%,Promotores[[#This Row],[Sell Out]]&gt;0,Promotores[[#This Row],[% Avi]]&lt;&gt;0),225,0)</f>
        <v>0</v>
      </c>
      <c r="P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9" s="125" t="str">
        <f>IFERROR(VLOOKUP(Promotores[[#This Row],[Promotor]],Base_APP[[Promotor]:[%]],6,0),"")</f>
        <v/>
      </c>
      <c r="S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9" s="1" t="s">
        <v>309</v>
      </c>
      <c r="V9" s="70">
        <f>V10</f>
        <v>7477939.0900000045</v>
      </c>
      <c r="W9" s="1" t="s">
        <v>24</v>
      </c>
      <c r="X9" s="61">
        <f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f>
        <v>0.82458107149256443</v>
      </c>
      <c r="Y9" s="70">
        <f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f>
        <v>0</v>
      </c>
      <c r="Z9" s="61">
        <f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f>
        <v>0.72595768856447696</v>
      </c>
      <c r="AA9" s="70">
        <f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f>
        <v>0</v>
      </c>
      <c r="AB9" s="61">
        <f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f>
        <v>1.034212741020794</v>
      </c>
      <c r="AC9" s="70">
        <f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f>
        <v>270</v>
      </c>
      <c r="AD9" s="61"/>
      <c r="AE9" s="70"/>
      <c r="AF9" s="61"/>
      <c r="AG9" s="70"/>
      <c r="AH9" s="70">
        <f>IF(Coordenadores[[#This Row],[Sell Out]]=0,0,IF($H$2&gt;=115%,300,IF($H$2&gt;=100%,200,IF($H$2&gt;=90%,100,0))))</f>
        <v>0</v>
      </c>
      <c r="AI9" s="70">
        <v>300</v>
      </c>
      <c r="AJ9" s="75">
        <f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f>
        <v>1.6406026495998583E-2</v>
      </c>
      <c r="AK9" s="70">
        <f>IF(AND(Coordenadores[[#This Row],[% Dev]]&lt;=1.5%,Coordenadores[[#This Row],[% Dev]]&lt;&gt;0),300,0)</f>
        <v>0</v>
      </c>
      <c r="AL9" s="70">
        <f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f>
        <v>570</v>
      </c>
    </row>
    <row r="10" spans="1:38" x14ac:dyDescent="0.3">
      <c r="A10" s="1" t="s">
        <v>546</v>
      </c>
      <c r="B1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10" s="1" t="str">
        <f>IF(Promotores[[#This Row],[Sell Out]]&gt;=300000,"A+",IF(Promotores[[#This Row],[Sell Out]]&gt;=260000,"A",IF(Promotores[[#This Row],[Sell Out]]&gt;=200000,"B","C")))</f>
        <v>C</v>
      </c>
      <c r="D1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0" s="70">
        <f>IFERROR(IF(Promotores[[#This Row],[Sell Out]]=0,0,IF($H$2&gt;=115%,225,IF($H$2&gt;=100%,150,IF($H$2&gt;=90%,75,0)))),0)</f>
        <v>0</v>
      </c>
      <c r="M10" s="70">
        <f>IF(Promotores[[#This Row],[Sell Out]]=0,0,IFERROR(IF(Promotores[[#This Row],[% App]]&gt;=100%,225,IF(Promotores[[#This Row],[% App]]&gt;=90%,112.5,0)),0))</f>
        <v>0</v>
      </c>
      <c r="N1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0" s="70">
        <f>IF(AND(N10&lt;=1.5%,Promotores[[#This Row],[Sell Out]]&gt;0,Promotores[[#This Row],[% Avi]]&lt;&gt;0),225,0)</f>
        <v>0</v>
      </c>
      <c r="P1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10" s="125" t="str">
        <f>IFERROR(VLOOKUP(Promotores[[#This Row],[Promotor]],Base_APP[[Promotor]:[%]],6,0),"")</f>
        <v/>
      </c>
      <c r="S1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10" s="1" t="s">
        <v>386</v>
      </c>
      <c r="V10" s="70">
        <f>V18</f>
        <v>7477939.0900000045</v>
      </c>
      <c r="W10" s="1" t="s">
        <v>24</v>
      </c>
      <c r="X10" s="61">
        <f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f>
        <v>0.82458107149256443</v>
      </c>
      <c r="Y10" s="70">
        <f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f>
        <v>0</v>
      </c>
      <c r="Z10" s="61">
        <f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f>
        <v>0.72595768856447696</v>
      </c>
      <c r="AA10" s="70">
        <f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f>
        <v>0</v>
      </c>
      <c r="AB10" s="61">
        <f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f>
        <v>1.034212741020794</v>
      </c>
      <c r="AC10" s="70">
        <f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f>
        <v>270</v>
      </c>
      <c r="AD10" s="61">
        <f>IFERROR(VLOOKUP(Coordenadores[[#This Row],[Coordenador]],#REF!,2,0)/VLOOKUP(Coordenadores[[#This Row],[Coordenador]],#REF!,4,0),0)</f>
        <v>0</v>
      </c>
      <c r="AE10" s="70"/>
      <c r="AF10" s="61">
        <f>IFERROR(VLOOKUP(Coordenadores[[#This Row],[Coordenador]],#REF!,2,0)/VLOOKUP(Coordenadores[[#This Row],[Coordenador]],#REF!,4,0),0)</f>
        <v>0</v>
      </c>
      <c r="AG10" s="70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10" s="70">
        <f>IF(Coordenadores[[#This Row],[Sell Out]]=0,0,IF($H$2&gt;=115%,300,IF($H$2&gt;=100%,200,IF($H$2&gt;=90%,100,0))))</f>
        <v>0</v>
      </c>
      <c r="AI10" s="70">
        <v>300</v>
      </c>
      <c r="AJ10" s="75">
        <f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f>
        <v>1.6406026495998583E-2</v>
      </c>
      <c r="AK10" s="70">
        <f>IF(AND(Coordenadores[[#This Row],[% Dev]]&lt;=1.5%,Coordenadores[[#This Row],[% Dev]]&lt;&gt;0),300,0)</f>
        <v>0</v>
      </c>
      <c r="AL10" s="70">
        <f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f>
        <v>570</v>
      </c>
    </row>
    <row r="11" spans="1:38" x14ac:dyDescent="0.3">
      <c r="A11" s="1" t="s">
        <v>560</v>
      </c>
      <c r="B1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11" s="1" t="str">
        <f>IF(Promotores[[#This Row],[Sell Out]]&gt;=300000,"A+",IF(Promotores[[#This Row],[Sell Out]]&gt;=260000,"A",IF(Promotores[[#This Row],[Sell Out]]&gt;=200000,"B","C")))</f>
        <v>C</v>
      </c>
      <c r="D1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1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1" s="70">
        <f>IFERROR(IF(Promotores[[#This Row],[Sell Out]]=0,0,IF($H$2&gt;=115%,225,IF($H$2&gt;=100%,150,IF($H$2&gt;=90%,75,0)))),0)</f>
        <v>0</v>
      </c>
      <c r="M11" s="70">
        <f>IF(Promotores[[#This Row],[Sell Out]]=0,0,IFERROR(IF(Promotores[[#This Row],[% App]]&gt;=100%,225,IF(Promotores[[#This Row],[% App]]&gt;=90%,112.5,0)),0))</f>
        <v>0</v>
      </c>
      <c r="N1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1" s="70">
        <f>IF(AND(N11&lt;=1.5%,Promotores[[#This Row],[Sell Out]]&gt;0,Promotores[[#This Row],[% Avi]]&lt;&gt;0),225,0)</f>
        <v>0</v>
      </c>
      <c r="P1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11" s="125" t="str">
        <f>IFERROR(VLOOKUP(Promotores[[#This Row],[Promotor]],Base_APP[[Promotor]:[%]],6,0),"")</f>
        <v/>
      </c>
      <c r="S1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11" s="1" t="s">
        <v>396</v>
      </c>
      <c r="V11" s="70">
        <f>SUMIFS(Basef[Tendencia],Basef[Cooredenador],Coordenadores[[#This Row],[Coordenador]])</f>
        <v>1158900.79</v>
      </c>
      <c r="W11" s="1" t="str">
        <f>IF(Coordenadores[[#This Row],[Sell Out]]&gt;=1750000,"A+",IF(Coordenadores[[#This Row],[Sell Out]]&gt;=1000000,"A","B"))</f>
        <v>A</v>
      </c>
      <c r="X11" s="61">
        <f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f>
        <v>0.66305796055796051</v>
      </c>
      <c r="Y11" s="70">
        <f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f>
        <v>0</v>
      </c>
      <c r="Z11" s="61">
        <f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f>
        <v>0.57083878306878311</v>
      </c>
      <c r="AA11" s="70">
        <f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f>
        <v>0</v>
      </c>
      <c r="AB11" s="61">
        <f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f>
        <v>0.96450430379746854</v>
      </c>
      <c r="AC11" s="70">
        <f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f>
        <v>112.5</v>
      </c>
      <c r="AD11" s="61">
        <f>IFERROR(VLOOKUP(Coordenadores[[#This Row],[Coordenador]],#REF!,2,0)/VLOOKUP(Coordenadores[[#This Row],[Coordenador]],#REF!,4,0),0)</f>
        <v>0</v>
      </c>
      <c r="AE11" s="70">
        <f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f>
        <v>0</v>
      </c>
      <c r="AF11" s="61">
        <f>IFERROR(VLOOKUP(Coordenadores[[#This Row],[Coordenador]],#REF!,2,0)/VLOOKUP(Coordenadores[[#This Row],[Coordenador]],#REF!,4,0),0)</f>
        <v>0</v>
      </c>
      <c r="AG11" s="70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11" s="70">
        <f>IF(Coordenadores[[#This Row],[Sell Out]]=0,0,IF($H$2&gt;=115%,300,IF($H$2&gt;=100%,200,IF($H$2&gt;=90%,100,0))))</f>
        <v>0</v>
      </c>
      <c r="AI11" s="70">
        <v>300</v>
      </c>
      <c r="AJ11" s="75">
        <f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f>
        <v>6.2442623218395398E-3</v>
      </c>
      <c r="AK11" s="70">
        <f>IF(AND(Coordenadores[[#This Row],[% Dev]]&lt;=1.5%,Coordenadores[[#This Row],[% Dev]]&lt;&gt;0),300,0)</f>
        <v>300</v>
      </c>
      <c r="AL11" s="70">
        <f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f>
        <v>712.5</v>
      </c>
    </row>
    <row r="12" spans="1:38" x14ac:dyDescent="0.3">
      <c r="A12" s="1" t="s">
        <v>557</v>
      </c>
      <c r="B1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12" s="1" t="str">
        <f>IF(Promotores[[#This Row],[Sell Out]]&gt;=300000,"A+",IF(Promotores[[#This Row],[Sell Out]]&gt;=260000,"A",IF(Promotores[[#This Row],[Sell Out]]&gt;=200000,"B","C")))</f>
        <v>C</v>
      </c>
      <c r="D1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2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2" s="70">
        <f>IFERROR(IF(Promotores[[#This Row],[Sell Out]]=0,0,IF($H$2&gt;=115%,225,IF($H$2&gt;=100%,150,IF($H$2&gt;=90%,75,0)))),0)</f>
        <v>0</v>
      </c>
      <c r="M12" s="70">
        <f>IF(Promotores[[#This Row],[Sell Out]]=0,0,IFERROR(IF(Promotores[[#This Row],[% App]]&gt;=100%,225,IF(Promotores[[#This Row],[% App]]&gt;=90%,112.5,0)),0))</f>
        <v>0</v>
      </c>
      <c r="N1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2" s="70">
        <f>IF(AND(N12&lt;=1.5%,Promotores[[#This Row],[Sell Out]]&gt;0,Promotores[[#This Row],[% Avi]]&lt;&gt;0),225,0)</f>
        <v>0</v>
      </c>
      <c r="P1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12" s="125" t="str">
        <f>IFERROR(VLOOKUP(Promotores[[#This Row],[Promotor]],Base_APP[[Promotor]:[%]],6,0),"")</f>
        <v/>
      </c>
      <c r="S1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12" s="1" t="s">
        <v>564</v>
      </c>
      <c r="V12" s="70">
        <f>SUMIFS(Basef[Tendencia],Basef[Cooredenador],Coordenadores[[#This Row],[Coordenador]])</f>
        <v>0</v>
      </c>
      <c r="W12" s="1" t="s">
        <v>24</v>
      </c>
      <c r="X12" s="61">
        <f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f>
        <v>0</v>
      </c>
      <c r="Y12" s="70">
        <f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f>
        <v>0</v>
      </c>
      <c r="Z12" s="61">
        <f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f>
        <v>0</v>
      </c>
      <c r="AA12" s="70">
        <f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f>
        <v>0</v>
      </c>
      <c r="AB12" s="61">
        <f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f>
        <v>0</v>
      </c>
      <c r="AC12" s="70">
        <f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f>
        <v>0</v>
      </c>
      <c r="AD12" s="61">
        <f>IFERROR(VLOOKUP(Coordenadores[[#This Row],[Coordenador]],#REF!,2,0)/VLOOKUP(Coordenadores[[#This Row],[Coordenador]],#REF!,4,0),0)</f>
        <v>0</v>
      </c>
      <c r="AE12" s="70">
        <f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f>
        <v>0</v>
      </c>
      <c r="AF12" s="61">
        <f>IFERROR(VLOOKUP(Coordenadores[[#This Row],[Coordenador]],#REF!,2,0)/VLOOKUP(Coordenadores[[#This Row],[Coordenador]],#REF!,4,0),0)</f>
        <v>0</v>
      </c>
      <c r="AG12" s="70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12" s="70">
        <f>IF(Coordenadores[[#This Row],[Sell Out]]=0,0,IF($H$2&gt;=115%,300,IF($H$2&gt;=100%,200,IF($H$2&gt;=90%,100,0))))</f>
        <v>0</v>
      </c>
      <c r="AI12" s="70">
        <v>300</v>
      </c>
      <c r="AJ12" s="75">
        <f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f>
        <v>0</v>
      </c>
      <c r="AK12" s="70">
        <f>IF(AND(Coordenadores[[#This Row],[% Dev]]&lt;=1.5%,Coordenadores[[#This Row],[% Dev]]&lt;&gt;0),300,0)</f>
        <v>0</v>
      </c>
      <c r="AL12" s="70">
        <f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f>
        <v>0</v>
      </c>
    </row>
    <row r="13" spans="1:38" x14ac:dyDescent="0.3">
      <c r="A13" s="1" t="s">
        <v>559</v>
      </c>
      <c r="B1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13" s="1" t="str">
        <f>IF(Promotores[[#This Row],[Sell Out]]&gt;=300000,"A+",IF(Promotores[[#This Row],[Sell Out]]&gt;=260000,"A",IF(Promotores[[#This Row],[Sell Out]]&gt;=200000,"B","C")))</f>
        <v>C</v>
      </c>
      <c r="D1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3" s="70">
        <f>IFERROR(IF(Promotores[[#This Row],[Sell Out]]=0,0,IF($H$2&gt;=115%,225,IF($H$2&gt;=100%,150,IF($H$2&gt;=90%,75,0)))),0)</f>
        <v>0</v>
      </c>
      <c r="M13" s="70">
        <f>IF(Promotores[[#This Row],[Sell Out]]=0,0,IFERROR(IF(Promotores[[#This Row],[% App]]&gt;=100%,225,IF(Promotores[[#This Row],[% App]]&gt;=90%,112.5,0)),0))</f>
        <v>0</v>
      </c>
      <c r="N1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3" s="70">
        <f>IF(AND(N13&lt;=1.5%,Promotores[[#This Row],[Sell Out]]&gt;0,Promotores[[#This Row],[% Avi]]&lt;&gt;0),225,0)</f>
        <v>0</v>
      </c>
      <c r="P1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13" s="125" t="str">
        <f>IFERROR(VLOOKUP(Promotores[[#This Row],[Promotor]],Base_APP[[Promotor]:[%]],6,0),"")</f>
        <v/>
      </c>
      <c r="S1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13" s="1" t="s">
        <v>604</v>
      </c>
      <c r="V13" s="70">
        <f>SUMIFS(Basef[Tendencia],Basef[Cooredenador],Coordenadores[[#This Row],[Coordenador]])</f>
        <v>0</v>
      </c>
      <c r="W13" s="1" t="s">
        <v>24</v>
      </c>
      <c r="X13" s="61">
        <f>IFERROR(IF(OR(Coordenadores[[#This Row],[Coordenador]]="William",Coordenadores[[#This Row],[Coordenador]]="Carla"),X$18,SUMIFS(Basef[Tendencia],Basef[Cooredenador],Coordenadores[[#This Row],[Coordenador]],Basef[Fornecedor],X$7)/SUMIFS(Basef[META],Basef[Cooredenador],Coordenadores[[#This Row],[Coordenador]],Basef[Fornecedor],X$7)),0)</f>
        <v>0</v>
      </c>
      <c r="Y13" s="70">
        <f>IFERROR(IF(Coordenadores[[#This Row],[Coordenador]]="Raianne",IF($C$2=$Y$5,(IF(Coordenadores[[#This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Premiação'!$Z$4:$AC$6,2,0),0)))),IF($C$1=$Y$5,(IF(Coordenadores[[#This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Premiação'!$Z$4:$AC$6,2,0),0))))*2,IF(Coordenadores[[#This Row],[Avine]]&gt;=115%,VLOOKUP(Coordenadores[[#This Row],[Nível]],'Regras Premiação'!$Z$4:$AC$6,4,0),IF(Coordenadores[[#This Row],[Avine]]&gt;=100%,VLOOKUP(Coordenadores[[#This Row],[Nível]],'Regras Premiação'!$Z$4:$AC$6,3,0),IF(Coordenadores[[#This Row],[Avine]]&gt;=90%,VLOOKUP(Coordenadores[[#This Row],[Nível]],'Regras Premiação'!$Z$4:$AC$6,2,0),0))))),0)</f>
        <v>0</v>
      </c>
      <c r="Z13" s="61">
        <f>IFERROR(IF(OR(Coordenadores[[#This Row],[Coordenador]]="William",Coordenadores[[#This Row],[Coordenador]]="Carla"),Z$18,SUMIFS(Basef[Tendencia],Basef[Cooredenador],Coordenadores[[#This Row],[Coordenador]],Basef[Fornecedor],Z$7)/SUMIFS(Basef[META],Basef[Cooredenador],Coordenadores[[#This Row],[Coordenador]],Basef[Fornecedor],Z$7)),0)</f>
        <v>0</v>
      </c>
      <c r="AA13" s="70">
        <f>IFERROR(IF(Coordenadores[[#This Row],[Coordenador]]="Raianne",IF($C$2=$AA$5,(IF(Coordenadores[[#This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Premiação'!$Z$4:$AC$6,2,0),0)))),IF($C$1=$AA$5,(IF(Coordenadores[[#This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Premiação'!$Z$4:$AC$6,2,0),0))))*2,IF(Coordenadores[[#This Row],[Cappellaro]]&gt;=115%,VLOOKUP(Coordenadores[[#This Row],[Nível]],'Regras Premiação'!$Z$4:$AC$6,4,0),IF(Coordenadores[[#This Row],[Cappellaro]]&gt;=100%,VLOOKUP(Coordenadores[[#This Row],[Nível]],'Regras Premiação'!$Z$4:$AC$6,3,0),IF(Coordenadores[[#This Row],[Cappellaro]]&gt;=90%,VLOOKUP(Coordenadores[[#This Row],[Nível]],'Regras Premiação'!$Z$4:$AC$6,2,0),0))))),0)</f>
        <v>0</v>
      </c>
      <c r="AB13" s="61">
        <f>IFERROR(IF(OR(Coordenadores[[#This Row],[Coordenador]]="William",Coordenadores[[#This Row],[Coordenador]]="Carla"),AB$18,SUMIFS(Basef[Tendencia],Basef[Cooredenador],Coordenadores[[#This Row],[Coordenador]],Basef[Fornecedor],AB$7)/SUMIFS(Basef[META],Basef[Cooredenador],Coordenadores[[#This Row],[Coordenador]],Basef[Fornecedor],AB$7)),0)</f>
        <v>0</v>
      </c>
      <c r="AC13" s="70">
        <f>IFERROR(IF(Coordenadores[[#This Row],[Coordenador]]="Raianne",IF($C$2=$AC$5,(IF(Coordenadores[[#This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Premiação'!$Z$4:$AC$6,2,0),0)))),IF($C$1=$AC$5,(IF(Coordenadores[[#This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Premiação'!$Z$4:$AC$6,2,0),0))))*2,IF(Coordenadores[[#This Row],[Famosa]]&gt;=115%,VLOOKUP(Coordenadores[[#This Row],[Nível]],'Regras Premiação'!$Z$4:$AC$6,4,0),IF(Coordenadores[[#This Row],[Famosa]]&gt;=100%,VLOOKUP(Coordenadores[[#This Row],[Nível]],'Regras Premiação'!$Z$4:$AC$6,3,0),IF(Coordenadores[[#This Row],[Famosa]]&gt;=90%,VLOOKUP(Coordenadores[[#This Row],[Nível]],'Regras Premiação'!$Z$4:$AC$6,2,0),0))))),0)</f>
        <v>0</v>
      </c>
      <c r="AD13" s="61">
        <f>IFERROR(VLOOKUP(Coordenadores[[#This Row],[Coordenador]],#REF!,2,0)/VLOOKUP(Coordenadores[[#This Row],[Coordenador]],#REF!,4,0),0)</f>
        <v>0</v>
      </c>
      <c r="AE13" s="70">
        <f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f>
        <v>0</v>
      </c>
      <c r="AF13" s="61">
        <f>IFERROR(VLOOKUP(Coordenadores[[#This Row],[Coordenador]],#REF!,2,0)/VLOOKUP(Coordenadores[[#This Row],[Coordenador]],#REF!,4,0),0)</f>
        <v>0</v>
      </c>
      <c r="AG13" s="70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13" s="70">
        <f>IF(Coordenadores[[#This Row],[Sell Out]]=0,0,IF($H$2&gt;=115%,300,IF($H$2&gt;=100%,200,IF($H$2&gt;=90%,100,0))))</f>
        <v>0</v>
      </c>
      <c r="AI13" s="70">
        <v>300</v>
      </c>
      <c r="AJ13" s="75">
        <f>IF(OR(Coordenadores[[#This Row],[Coordenador]]="William",Coordenadores[[#This Row],[Coordenador]]="Carla"),$AJ$17,IFERROR(SUMIFS(Basef[Devolucao],Basef[Cooredenador],Coordenadores[[#This Row],[Coordenador]],Basef[Fornecedor],"Avine")/SUMIFS(Basef[Tendencia],Basef[Cooredenador],Coordenadores[[#This Row],[Coordenador]],Basef[Fornecedor],"Avine"),0))</f>
        <v>0</v>
      </c>
      <c r="AK13" s="70">
        <f>IF(AND(Coordenadores[[#This Row],[% Dev]]&lt;=1.5%,Coordenadores[[#This Row],[% Dev]]&lt;&gt;0),300,0)</f>
        <v>0</v>
      </c>
      <c r="AL13" s="70">
        <f>IF(Coordenadores[[#This Row],[Sell Out]]=0,0,SUM(Coordenadores[[#This Row],[R$ Avi]],Coordenadores[[#This Row],[R$ Capp]],Coordenadores[[#This Row],[R$ Fam]],Coordenadores[[#This Row],[R$ S&amp;V]],Coordenadores[[#This Row],[Master]],Coordenadores[[#This Row],[Gestor]],Coordenadores[[#This Row],[R$ Dev]],Coordenadores[[#This Row],[R$ Treb]]))</f>
        <v>0</v>
      </c>
    </row>
    <row r="14" spans="1:38" x14ac:dyDescent="0.3">
      <c r="A14" s="1" t="s">
        <v>596</v>
      </c>
      <c r="B1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240765.36</v>
      </c>
      <c r="C14" s="1" t="str">
        <f>IF(Promotores[[#This Row],[Sell Out]]&gt;=300000,"A+",IF(Promotores[[#This Row],[Sell Out]]&gt;=260000,"A",IF(Promotores[[#This Row],[Sell Out]]&gt;=200000,"B","C")))</f>
        <v>B</v>
      </c>
      <c r="D1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4" s="70">
        <f>IFERROR(IF(Promotores[[#This Row],[Sell Out]]=0,0,IF($H$2&gt;=115%,225,IF($H$2&gt;=100%,150,IF($H$2&gt;=90%,75,0)))),0)</f>
        <v>0</v>
      </c>
      <c r="M14" s="70">
        <f>IF(Promotores[[#This Row],[Sell Out]]=0,0,IFERROR(IF(Promotores[[#This Row],[% App]]&gt;=100%,225,IF(Promotores[[#This Row],[% App]]&gt;=90%,112.5,0)),0))</f>
        <v>0</v>
      </c>
      <c r="N1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1.0793707887654999E-2</v>
      </c>
      <c r="O14" s="70">
        <f>IF(AND(N14&lt;=1.5%,Promotores[[#This Row],[Sell Out]]&gt;0,Promotores[[#This Row],[% Avi]]&lt;&gt;0),225,0)</f>
        <v>0</v>
      </c>
      <c r="P1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14" s="125">
        <f>IFERROR(VLOOKUP(Promotores[[#This Row],[Promotor]],Base_APP[[Promotor]:[%]],6,0),"")</f>
        <v>0.75</v>
      </c>
      <c r="S1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15" spans="1:38" x14ac:dyDescent="0.3">
      <c r="A15" s="1" t="s">
        <v>532</v>
      </c>
      <c r="B15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32120.880000000001</v>
      </c>
      <c r="C15" s="1" t="str">
        <f>IF(Promotores[[#This Row],[Sell Out]]&gt;=300000,"A+",IF(Promotores[[#This Row],[Sell Out]]&gt;=260000,"A",IF(Promotores[[#This Row],[Sell Out]]&gt;=200000,"B","C")))</f>
        <v>C</v>
      </c>
      <c r="D1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0.6003902803738318</v>
      </c>
      <c r="E15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5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5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1.2723887500000002</v>
      </c>
      <c r="K15" s="70">
        <f>IFERROR(IF(Promotores[[#This Row],[% Pinh]]&lt;90%,0,VLOOKUP(Promotores[[#This Row],[Nível]],'Regras Premiação'!$T$4:$W$7,IF(Promotores[[#This Row],[% Pinh]]&lt;100%,2,IF(Promotores[[#This Row],[% Pinh]]&lt;115%,3,4)),0)),0)</f>
        <v>125</v>
      </c>
      <c r="L15" s="70">
        <f>IFERROR(IF(Promotores[[#This Row],[Sell Out]]=0,0,IF($H$2&gt;=115%,225,IF($H$2&gt;=100%,150,IF($H$2&gt;=90%,75,0)))),0)</f>
        <v>0</v>
      </c>
      <c r="M15" s="70">
        <f>IF(Promotores[[#This Row],[Sell Out]]=0,0,IFERROR(IF(Promotores[[#This Row],[% App]]&gt;=100%,225,IF(Promotores[[#This Row],[% App]]&gt;=90%,112.5,0)),0))</f>
        <v>225</v>
      </c>
      <c r="N15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1.6511689592564088E-2</v>
      </c>
      <c r="O15" s="70">
        <f>IF(AND(N15&lt;=1.5%,Promotores[[#This Row],[Sell Out]]&gt;0,Promotores[[#This Row],[% Avi]]&lt;&gt;0),225,0)</f>
        <v>0</v>
      </c>
      <c r="P15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350</v>
      </c>
      <c r="Q15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Ceará</v>
      </c>
      <c r="R15" s="125" t="str">
        <f>IFERROR(VLOOKUP(Promotores[[#This Row],[Promotor]],Base_APP[[Promotor]:[%]],6,0),"")</f>
        <v/>
      </c>
      <c r="S15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16" spans="1:38" ht="15.6" x14ac:dyDescent="0.3">
      <c r="A16" s="1" t="s">
        <v>590</v>
      </c>
      <c r="B1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16" s="1" t="str">
        <f>IF(Promotores[[#This Row],[Sell Out]]&gt;=300000,"A+",IF(Promotores[[#This Row],[Sell Out]]&gt;=260000,"A",IF(Promotores[[#This Row],[Sell Out]]&gt;=200000,"B","C")))</f>
        <v>C</v>
      </c>
      <c r="D1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6" s="70">
        <f>IFERROR(IF(Promotores[[#This Row],[Sell Out]]=0,0,IF($H$2&gt;=115%,225,IF($H$2&gt;=100%,150,IF($H$2&gt;=90%,75,0)))),0)</f>
        <v>0</v>
      </c>
      <c r="M16" s="70">
        <f>IF(Promotores[[#This Row],[Sell Out]]=0,0,IFERROR(IF(Promotores[[#This Row],[% App]]&gt;=100%,225,IF(Promotores[[#This Row],[% App]]&gt;=90%,112.5,0)),0))</f>
        <v>0</v>
      </c>
      <c r="N1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6" s="70">
        <f>IF(AND(N16&lt;=1.5%,Promotores[[#This Row],[Sell Out]]&gt;0,Promotores[[#This Row],[% Avi]]&lt;&gt;0),225,0)</f>
        <v>0</v>
      </c>
      <c r="P1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16" s="125" t="str">
        <f>IFERROR(VLOOKUP(Promotores[[#This Row],[Promotor]],Base_APP[[Promotor]:[%]],6,0),"")</f>
        <v/>
      </c>
      <c r="S1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16" s="182" t="s">
        <v>442</v>
      </c>
      <c r="V16" s="71" t="s">
        <v>94</v>
      </c>
      <c r="W16" s="71" t="s">
        <v>58</v>
      </c>
      <c r="X16" s="71" t="s">
        <v>3</v>
      </c>
      <c r="Y16" s="71" t="s">
        <v>7</v>
      </c>
      <c r="Z16" s="71" t="s">
        <v>92</v>
      </c>
      <c r="AA16" s="71" t="s">
        <v>9</v>
      </c>
      <c r="AB16" s="71" t="s">
        <v>93</v>
      </c>
      <c r="AC16" s="71" t="s">
        <v>11</v>
      </c>
      <c r="AD16" s="71" t="s">
        <v>12</v>
      </c>
      <c r="AE16" s="71" t="s">
        <v>13</v>
      </c>
      <c r="AF16" s="71" t="s">
        <v>344</v>
      </c>
      <c r="AG16" s="71" t="s">
        <v>345</v>
      </c>
      <c r="AH16" s="71" t="s">
        <v>14</v>
      </c>
      <c r="AI16" s="71" t="s">
        <v>19</v>
      </c>
      <c r="AJ16" s="71" t="s">
        <v>15</v>
      </c>
      <c r="AK16" s="71" t="s">
        <v>16</v>
      </c>
      <c r="AL16" s="71" t="s">
        <v>17</v>
      </c>
    </row>
    <row r="17" spans="1:38" x14ac:dyDescent="0.3">
      <c r="A17" s="1" t="s">
        <v>84</v>
      </c>
      <c r="B1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264517.27</v>
      </c>
      <c r="C17" s="1" t="s">
        <v>586</v>
      </c>
      <c r="D1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1.0824184946236559</v>
      </c>
      <c r="E1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0.73656461538461548</v>
      </c>
      <c r="G1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0.47606760000000004</v>
      </c>
      <c r="I1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0.10771300000000002</v>
      </c>
      <c r="K1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7" s="70">
        <f>IFERROR(IF(Promotores[[#This Row],[Sell Out]]=0,0,IF($H$2&gt;=115%,225,IF($H$2&gt;=100%,150,IF($H$2&gt;=90%,75,0)))),0)</f>
        <v>0</v>
      </c>
      <c r="M17" s="70">
        <f>IF(Promotores[[#This Row],[Sell Out]]=0,0,IFERROR(IF(Promotores[[#This Row],[% App]]&gt;=100%,225,IF(Promotores[[#This Row],[% App]]&gt;=90%,112.5,0)),0))</f>
        <v>0</v>
      </c>
      <c r="N1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7.4797324297944771E-3</v>
      </c>
      <c r="O17" s="70">
        <f>IF(AND(N17&lt;=1.5%,Promotores[[#This Row],[Sell Out]]&gt;0,Promotores[[#This Row],[% Avi]]&lt;&gt;0),225,0)</f>
        <v>225</v>
      </c>
      <c r="P1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1485</v>
      </c>
      <c r="Q1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17" s="125">
        <f>IFERROR(VLOOKUP(Promotores[[#This Row],[Promotor]],Base_APP[[Promotor]:[%]],6,0),"")</f>
        <v>0.5625</v>
      </c>
      <c r="S1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  <c r="U17" s="183" t="s">
        <v>310</v>
      </c>
      <c r="V17" s="135">
        <f>SUM(Basef[Tendencia])</f>
        <v>7477939.0900000045</v>
      </c>
      <c r="W17" s="67" t="s">
        <v>430</v>
      </c>
      <c r="X17" s="136">
        <f>SUMIFS(Basef[Tendencia],Basef[Fornecedor],X$16)/SUMIFS(Basef[META],Basef[Fornecedor],X$16)</f>
        <v>0.82458107149256443</v>
      </c>
      <c r="Y17" s="135">
        <f t="shared" ref="Y17:Y18" si="0">IF(X17&lt;90%,0,IF(X17&gt;=115%,440,IF(X17&gt;=100%,350,175)))</f>
        <v>0</v>
      </c>
      <c r="Z17" s="136">
        <f>SUMIFS(Basef[Tendencia],Basef[Fornecedor],Z$16)/SUMIFS(Basef[META],Basef[Fornecedor],Z$16)</f>
        <v>0.72595768856447696</v>
      </c>
      <c r="AA17" s="135">
        <f t="shared" ref="AA17:AA18" si="1">IF(Z17&lt;90%,0,IF(Z17&gt;=115%,440,IF(Z17&gt;=100%,350,175)))</f>
        <v>0</v>
      </c>
      <c r="AB17" s="136">
        <f>IFERROR(SUMIFS(Basef[Tendencia],Basef[Fornecedor],AB$16)/SUMIFS(Basef[META],Basef[Fornecedor],AB$16),0)</f>
        <v>1.034212741020794</v>
      </c>
      <c r="AC17" s="135">
        <f t="shared" ref="AC17:AC18" si="2">IF(AB17&lt;90%,0,IF(AB17&gt;=115%,440,IF(AB17&gt;=100%,350,175)))</f>
        <v>350</v>
      </c>
      <c r="AD17" s="136">
        <f>IFERROR(VLOOKUP(Coordenadores[[#This Row],[Coordenador]],#REF!,2,0)/VLOOKUP(Coordenadores[[#This Row],[Coordenador]],#REF!,4,0),0)</f>
        <v>0</v>
      </c>
      <c r="AE17" s="135">
        <f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f>
        <v>0</v>
      </c>
      <c r="AF17" s="136">
        <f>IFERROR(VLOOKUP(Coordenadores[[#This Row],[Coordenador]],#REF!,2,0)/VLOOKUP(Coordenadores[[#This Row],[Coordenador]],#REF!,4,0),0)</f>
        <v>0</v>
      </c>
      <c r="AG17" s="135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17" s="135">
        <f>IF($H$2&gt;=115%,360,IF($H$2&gt;=100%,250,IF($H$2&gt;=90%,130,0)))</f>
        <v>0</v>
      </c>
      <c r="AI17" s="135">
        <v>400</v>
      </c>
      <c r="AJ17" s="177">
        <f>IFERROR(SUMIFS(Basef[Devolucao],Basef[Fornecedor],"Avine")/SUMIFS(Basef[Tendencia],Basef[Fornecedor],"Avine"),0)</f>
        <v>1.6406026495998583E-2</v>
      </c>
      <c r="AK17" s="135">
        <f>IF(AJ17&lt;=1.5%,400,0)</f>
        <v>0</v>
      </c>
      <c r="AL17" s="135">
        <f>AK17+AH17+AA17+Y17+AI17+AC17</f>
        <v>750</v>
      </c>
    </row>
    <row r="18" spans="1:38" x14ac:dyDescent="0.3">
      <c r="A18" s="1" t="s">
        <v>541</v>
      </c>
      <c r="B1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18" s="1" t="str">
        <f>IF(Promotores[[#This Row],[Sell Out]]&gt;=300000,"A+",IF(Promotores[[#This Row],[Sell Out]]&gt;=260000,"A",IF(Promotores[[#This Row],[Sell Out]]&gt;=200000,"B","C")))</f>
        <v>C</v>
      </c>
      <c r="D1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1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1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1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1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1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8" s="70">
        <f>IFERROR(IF(Promotores[[#This Row],[Sell Out]]=0,0,IF($H$2&gt;=115%,225,IF($H$2&gt;=100%,150,IF($H$2&gt;=90%,75,0)))),0)</f>
        <v>0</v>
      </c>
      <c r="M18" s="70">
        <f>IF(Promotores[[#This Row],[Sell Out]]=0,0,IFERROR(IF(Promotores[[#This Row],[% App]]&gt;=100%,225,IF(Promotores[[#This Row],[% App]]&gt;=90%,112.5,0)),0))</f>
        <v>0</v>
      </c>
      <c r="N1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8" s="70">
        <f>IF(AND(N18&lt;=1.5%,Promotores[[#This Row],[Sell Out]]&gt;0,Promotores[[#This Row],[% Avi]]&lt;&gt;0),225,0)</f>
        <v>0</v>
      </c>
      <c r="P1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1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18" s="125" t="str">
        <f>IFERROR(VLOOKUP(Promotores[[#This Row],[Promotor]],Base_APP[[Promotor]:[%]],6,0),"")</f>
        <v/>
      </c>
      <c r="S1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18" s="183" t="s">
        <v>378</v>
      </c>
      <c r="V18" s="184">
        <f>SUM(Basef[Tendencia])</f>
        <v>7477939.0900000045</v>
      </c>
      <c r="W18" s="183" t="s">
        <v>430</v>
      </c>
      <c r="X18" s="185">
        <f>SUMIFS(Basef[Tendencia],Basef[Fornecedor],X$16)/SUMIFS(Basef[META],Basef[Fornecedor],X$16)</f>
        <v>0.82458107149256443</v>
      </c>
      <c r="Y18" s="184">
        <f t="shared" si="0"/>
        <v>0</v>
      </c>
      <c r="Z18" s="185">
        <f>SUMIFS(Basef[Tendencia],Basef[Fornecedor],Z$16)/SUMIFS(Basef[META],Basef[Fornecedor],Z$16)</f>
        <v>0.72595768856447696</v>
      </c>
      <c r="AA18" s="184">
        <f t="shared" si="1"/>
        <v>0</v>
      </c>
      <c r="AB18" s="185">
        <f>IFERROR(SUMIFS(Basef[Tendencia],Basef[Fornecedor],AB$16)/SUMIFS(Basef[META],Basef[Fornecedor],AB$16),0)</f>
        <v>1.034212741020794</v>
      </c>
      <c r="AC18" s="184">
        <f t="shared" si="2"/>
        <v>350</v>
      </c>
      <c r="AD18" s="185">
        <f>IFERROR(VLOOKUP(Coordenadores[[#This Row],[Coordenador]],#REF!,2,0)/VLOOKUP(Coordenadores[[#This Row],[Coordenador]],#REF!,4,0),0)</f>
        <v>0</v>
      </c>
      <c r="AE18" s="184">
        <f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f>
        <v>0</v>
      </c>
      <c r="AF18" s="185">
        <f>IFERROR(VLOOKUP(Coordenadores[[#This Row],[Coordenador]],#REF!,2,0)/VLOOKUP(Coordenadores[[#This Row],[Coordenador]],#REF!,4,0),0)</f>
        <v>0</v>
      </c>
      <c r="AG18" s="184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18" s="184">
        <f>IF($H$2&gt;=115%,360,IF($H$2&gt;=100%,250,IF($H$2&gt;=90%,130,0)))</f>
        <v>0</v>
      </c>
      <c r="AI18" s="184">
        <v>400</v>
      </c>
      <c r="AJ18" s="186">
        <f>IFERROR(SUMIFS(Basef[Devolucao],Basef[Fornecedor],"Avine")/SUMIFS(Basef[Tendencia],Basef[Fornecedor],"Avine"),0)</f>
        <v>1.6406026495998583E-2</v>
      </c>
      <c r="AK18" s="184">
        <f>IF(AJ18&lt;=1.5%,400,0)</f>
        <v>0</v>
      </c>
      <c r="AL18" s="184">
        <f>AK18+AH18+AA18+Y18+AI18+AC18</f>
        <v>750</v>
      </c>
    </row>
    <row r="19" spans="1:38" x14ac:dyDescent="0.3">
      <c r="A19" s="1" t="s">
        <v>354</v>
      </c>
      <c r="B1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240904.58000000002</v>
      </c>
      <c r="C19" s="1" t="str">
        <f>IF(Promotores[[#This Row],[Sell Out]]&gt;=300000,"A+",IF(Promotores[[#This Row],[Sell Out]]&gt;=260000,"A",IF(Promotores[[#This Row],[Sell Out]]&gt;=200000,"B","C")))</f>
        <v>B</v>
      </c>
      <c r="D1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0.86687541284403669</v>
      </c>
      <c r="E1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1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1.1917964383561643</v>
      </c>
      <c r="G19" s="70">
        <f>IFERROR(IF(Promotores[[#This Row],[% Capp]]&lt;90%,0,VLOOKUP(Promotores[[#This Row],[Nível]],'Regras Premiação'!$T$4:$W$7,IF(Promotores[[#This Row],[% Capp]]&lt;100%,2,IF(Promotores[[#This Row],[% Capp]]&lt;115%,3,4)),0)),0)</f>
        <v>175</v>
      </c>
      <c r="H1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1.8722015384615387</v>
      </c>
      <c r="I1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175</v>
      </c>
      <c r="J1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1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19" s="70">
        <f>IFERROR(IF(Promotores[[#This Row],[Sell Out]]=0,0,IF($H$2&gt;=115%,225,IF($H$2&gt;=100%,150,IF($H$2&gt;=90%,75,0)))),0)</f>
        <v>0</v>
      </c>
      <c r="M19" s="70">
        <f>IF(Promotores[[#This Row],[Sell Out]]=0,0,IFERROR(IF(Promotores[[#This Row],[% App]]&gt;=100%,225,IF(Promotores[[#This Row],[% App]]&gt;=90%,112.5,0)),0))</f>
        <v>225</v>
      </c>
      <c r="N1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19" s="70">
        <f>IF(AND(N19&lt;=1.5%,Promotores[[#This Row],[Sell Out]]&gt;0,Promotores[[#This Row],[% Avi]]&lt;&gt;0),225,0)</f>
        <v>225</v>
      </c>
      <c r="P1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800</v>
      </c>
      <c r="Q1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Norte</v>
      </c>
      <c r="R19" s="125">
        <f>IFERROR(VLOOKUP(Promotores[[#This Row],[Promotor]],Base_APP[[Promotor]:[%]],6,0),"")</f>
        <v>1.25</v>
      </c>
      <c r="S1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20" spans="1:38" ht="15.6" x14ac:dyDescent="0.3">
      <c r="A20" s="1" t="s">
        <v>565</v>
      </c>
      <c r="B2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149454.96</v>
      </c>
      <c r="C20" s="1" t="str">
        <f>IF(Promotores[[#This Row],[Sell Out]]&gt;=300000,"A+",IF(Promotores[[#This Row],[Sell Out]]&gt;=260000,"A",IF(Promotores[[#This Row],[Sell Out]]&gt;=200000,"B","C")))</f>
        <v>C</v>
      </c>
      <c r="D2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0.92218869999999997</v>
      </c>
      <c r="E20" s="70">
        <f>IFERROR(IF(Promotores[[#This Row],[% Avi]]&lt;90%,0,VLOOKUP(Promotores[[#This Row],[Nível]],'Regras Premiação'!$T$4:$W$7,IF(Promotores[[#This Row],[% Avi]]&lt;100%,2,IF(Promotores[[#This Row],[% Avi]]&lt;115%,3,4)),0)),0)</f>
        <v>50</v>
      </c>
      <c r="F2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0.95852533333333334</v>
      </c>
      <c r="G20" s="70">
        <f>IFERROR(IF(Promotores[[#This Row],[% Capp]]&lt;90%,0,VLOOKUP(Promotores[[#This Row],[Nível]],'Regras Premiação'!$T$4:$W$7,IF(Promotores[[#This Row],[% Capp]]&lt;100%,2,IF(Promotores[[#This Row],[% Capp]]&lt;115%,3,4)),0)),0)</f>
        <v>50</v>
      </c>
      <c r="H2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0.94016333333333335</v>
      </c>
      <c r="I2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50</v>
      </c>
      <c r="J2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0" s="70">
        <f>IFERROR(IF(Promotores[[#This Row],[Sell Out]]=0,0,IF($H$2&gt;=115%,225,IF($H$2&gt;=100%,150,IF($H$2&gt;=90%,75,0)))),0)</f>
        <v>0</v>
      </c>
      <c r="M20" s="70">
        <f>IF(Promotores[[#This Row],[Sell Out]]=0,0,IFERROR(IF(Promotores[[#This Row],[% App]]&gt;=100%,225,IF(Promotores[[#This Row],[% App]]&gt;=90%,112.5,0)),0))</f>
        <v>225</v>
      </c>
      <c r="N2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2.0601965736513583E-2</v>
      </c>
      <c r="O20" s="70">
        <f>IF(AND(N20&lt;=1.5%,Promotores[[#This Row],[Sell Out]]&gt;0,Promotores[[#This Row],[% Avi]]&lt;&gt;0),225,0)</f>
        <v>0</v>
      </c>
      <c r="P2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375</v>
      </c>
      <c r="Q2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Norte</v>
      </c>
      <c r="R20" s="125">
        <f>IFERROR(VLOOKUP(Promotores[[#This Row],[Promotor]],Base_APP[[Promotor]:[%]],6,0),"")</f>
        <v>1.1875</v>
      </c>
      <c r="S2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  <c r="U20" s="132" t="s">
        <v>431</v>
      </c>
      <c r="V20" s="132" t="s">
        <v>94</v>
      </c>
      <c r="W20" s="132" t="s">
        <v>58</v>
      </c>
      <c r="X20" s="132" t="s">
        <v>3</v>
      </c>
      <c r="Y20" s="132" t="s">
        <v>7</v>
      </c>
      <c r="Z20" s="132" t="s">
        <v>92</v>
      </c>
      <c r="AA20" s="132" t="s">
        <v>9</v>
      </c>
      <c r="AB20" s="132" t="s">
        <v>93</v>
      </c>
      <c r="AC20" s="132" t="s">
        <v>11</v>
      </c>
      <c r="AD20" s="132" t="s">
        <v>12</v>
      </c>
      <c r="AE20" s="132" t="s">
        <v>13</v>
      </c>
      <c r="AF20" s="132" t="s">
        <v>344</v>
      </c>
      <c r="AG20" s="132" t="s">
        <v>345</v>
      </c>
      <c r="AH20" s="132" t="s">
        <v>14</v>
      </c>
      <c r="AI20" s="132" t="s">
        <v>19</v>
      </c>
      <c r="AJ20" s="132" t="s">
        <v>15</v>
      </c>
      <c r="AK20" s="132" t="s">
        <v>16</v>
      </c>
      <c r="AL20" s="133" t="s">
        <v>17</v>
      </c>
    </row>
    <row r="21" spans="1:38" x14ac:dyDescent="0.3">
      <c r="A21" s="1" t="s">
        <v>64</v>
      </c>
      <c r="B2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244185.96000000002</v>
      </c>
      <c r="C21" s="1" t="str">
        <f>IF(Promotores[[#This Row],[Sell Out]]&gt;=300000,"A+",IF(Promotores[[#This Row],[Sell Out]]&gt;=260000,"A",IF(Promotores[[#This Row],[Sell Out]]&gt;=200000,"B","C")))</f>
        <v>B</v>
      </c>
      <c r="D2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1.1934574276527332</v>
      </c>
      <c r="E21" s="70">
        <f>IFERROR(IF(Promotores[[#This Row],[% Avi]]&lt;90%,0,VLOOKUP(Promotores[[#This Row],[Nível]],'Regras Premiação'!$T$4:$W$7,IF(Promotores[[#This Row],[% Avi]]&lt;100%,2,IF(Promotores[[#This Row],[% Avi]]&lt;115%,3,4)),0)),0)</f>
        <v>175</v>
      </c>
      <c r="F2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1.1000017777777777</v>
      </c>
      <c r="G21" s="70">
        <f>IFERROR(IF(Promotores[[#This Row],[% Capp]]&lt;90%,0,VLOOKUP(Promotores[[#This Row],[Nível]],'Regras Premiação'!$T$4:$W$7,IF(Promotores[[#This Row],[% Capp]]&lt;100%,2,IF(Promotores[[#This Row],[% Capp]]&lt;115%,3,4)),0)),0)</f>
        <v>140</v>
      </c>
      <c r="H2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1.5172083333333333</v>
      </c>
      <c r="I2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175</v>
      </c>
      <c r="J2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1" s="70">
        <f>IFERROR(IF(Promotores[[#This Row],[Sell Out]]=0,0,IF($H$2&gt;=115%,225,IF($H$2&gt;=100%,150,IF($H$2&gt;=90%,75,0)))),0)</f>
        <v>0</v>
      </c>
      <c r="M21" s="70">
        <f>IF(Promotores[[#This Row],[Sell Out]]=0,0,IFERROR(IF(Promotores[[#This Row],[% App]]&gt;=100%,225,IF(Promotores[[#This Row],[% App]]&gt;=90%,112.5,0)),0))</f>
        <v>225</v>
      </c>
      <c r="N2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3.089297743005366E-3</v>
      </c>
      <c r="O21" s="70">
        <f>IF(AND(N21&lt;=1.5%,Promotores[[#This Row],[Sell Out]]&gt;0,Promotores[[#This Row],[% Avi]]&lt;&gt;0),225,0)</f>
        <v>225</v>
      </c>
      <c r="P2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940</v>
      </c>
      <c r="Q2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Norte</v>
      </c>
      <c r="R21" s="125">
        <f>IFERROR(VLOOKUP(Promotores[[#This Row],[Promotor]],Base_APP[[Promotor]:[%]],6,0),"")</f>
        <v>1.0625</v>
      </c>
      <c r="S2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  <c r="U21" s="134" t="s">
        <v>307</v>
      </c>
      <c r="V21" s="135">
        <f>SUM(Basef[Tendencia])</f>
        <v>7477939.0900000045</v>
      </c>
      <c r="W21" s="67" t="s">
        <v>430</v>
      </c>
      <c r="X21" s="136">
        <f>SUMIFS(Basef[Tendencia],Basef[Fornecedor],X$16)/SUMIFS(Basef[META],Basef[Fornecedor],X$16)</f>
        <v>0.82458107149256443</v>
      </c>
      <c r="Y21" s="135">
        <f>IF(X21&lt;90%,0,IF(X21&gt;=115%,500,IF(X21&gt;=100%,400,200)))</f>
        <v>0</v>
      </c>
      <c r="Z21" s="136">
        <f>SUMIFS(Basef[Tendencia],Basef[Fornecedor],Z$16)/SUMIFS(Basef[META],Basef[Fornecedor],Z$16)</f>
        <v>0.72595768856447696</v>
      </c>
      <c r="AA21" s="135">
        <f>IF(Z21&lt;90%,0,IF(Z21&gt;=115%,500,IF(Z21&gt;=100%,400,200)))</f>
        <v>0</v>
      </c>
      <c r="AB21" s="136">
        <f>IFERROR(SUMIFS(Basef[Tendencia],Basef[Fornecedor],AB$16)/SUMIFS(Basef[META],Basef[Fornecedor],AB$16),0)</f>
        <v>1.034212741020794</v>
      </c>
      <c r="AC21" s="135">
        <f>IF(AB21&lt;90%,0,IF(AB21&gt;=115%,500,IF(AB21&gt;=100%,400,200)))</f>
        <v>400</v>
      </c>
      <c r="AD21" s="136">
        <f>IFERROR(VLOOKUP(Coordenadores[[#This Row],[Coordenador]],#REF!,2,0)/VLOOKUP(Coordenadores[[#This Row],[Coordenador]],#REF!,4,0),0)</f>
        <v>0</v>
      </c>
      <c r="AE21" s="135">
        <f>IFERROR(IF(Coordenadores[[#This Row],[Coordenador]]="Raianne",IF($C$2=$AE$5,(IF(Coordenadores[[#This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Premiação'!$Z$4:$AC$6,2,0),0)))),IF($C$1=$AE$5,(IF(Coordenadores[[#This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Premiação'!$Z$4:$AC$6,2,0),0))))*2,IF(Coordenadores[[#This Row],[% S&amp;V]]&gt;=115%,VLOOKUP(Coordenadores[[#This Row],[Nível]],'Regras Premiação'!$Z$4:$AC$6,4,0),IF(Coordenadores[[#This Row],[% S&amp;V]]&gt;=100%,VLOOKUP(Coordenadores[[#This Row],[Nível]],'Regras Premiação'!$Z$4:$AC$6,3,0),IF(Coordenadores[[#This Row],[% S&amp;V]]&gt;=90%,VLOOKUP(Coordenadores[[#This Row],[Nível]],'Regras Premiação'!$Z$4:$AC$6,2,0),0))))),0)</f>
        <v>0</v>
      </c>
      <c r="AF21" s="136">
        <f>IFERROR(VLOOKUP(Coordenadores[[#This Row],[Coordenador]],#REF!,2,0)/VLOOKUP(Coordenadores[[#This Row],[Coordenador]],#REF!,4,0),0)</f>
        <v>0</v>
      </c>
      <c r="AG21" s="135">
        <f>IFERROR(IF(Coordenadores[[#This Row],[Coordenador]]="Raianne",IF($C$2=$AG$5,(IF(Coordenadores[[#This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Premiação'!$Z$4:$AC$6,2,0),0)))),IF($C$1=$AG$5,(IF(Coordenadores[[#This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Premiação'!$Z$4:$AC$6,2,0),0))))*2,IF(Coordenadores[[#This Row],[% Treb]]&gt;=115%,VLOOKUP(Coordenadores[[#This Row],[Nível]],'Regras Premiação'!$Z$4:$AC$6,4,0),IF(Coordenadores[[#This Row],[% Treb]]&gt;=100%,VLOOKUP(Coordenadores[[#This Row],[Nível]],'Regras Premiação'!$Z$4:$AC$6,3,0),IF(Coordenadores[[#This Row],[% Treb]]&gt;=90%,VLOOKUP(Coordenadores[[#This Row],[Nível]],'Regras Premiação'!$Z$4:$AC$6,2,0),0))))),0)</f>
        <v>0</v>
      </c>
      <c r="AH21" s="135">
        <f>IF($H$2&gt;=115%,500,IF($H$2&gt;=100%,350,IF($H$2&gt;=90%,180,0)))</f>
        <v>0</v>
      </c>
      <c r="AI21" s="135">
        <v>565</v>
      </c>
      <c r="AJ21" s="177">
        <f>IFERROR(SUMIFS(Basef[Devolucao],Basef[Fornecedor],"Avine")/SUMIFS(Basef[Tendencia],Basef[Fornecedor],"Avine"),0)</f>
        <v>1.6406026495998583E-2</v>
      </c>
      <c r="AK21" s="135">
        <f>IF(AJ21&lt;=1.5%,500,0)</f>
        <v>0</v>
      </c>
      <c r="AL21" s="96">
        <f>AK21+AH21+AA21+Y21+AI21+AC21</f>
        <v>965</v>
      </c>
    </row>
    <row r="22" spans="1:38" x14ac:dyDescent="0.3">
      <c r="A22" s="1" t="s">
        <v>582</v>
      </c>
      <c r="B2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146948.52999999997</v>
      </c>
      <c r="C22" s="1" t="str">
        <f>IF(Promotores[[#This Row],[Sell Out]]&gt;=300000,"A+",IF(Promotores[[#This Row],[Sell Out]]&gt;=260000,"A",IF(Promotores[[#This Row],[Sell Out]]&gt;=200000,"B","C")))</f>
        <v>C</v>
      </c>
      <c r="D2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1.0121484905660376</v>
      </c>
      <c r="E22" s="70">
        <f>IFERROR(IF(Promotores[[#This Row],[% Avi]]&lt;90%,0,VLOOKUP(Promotores[[#This Row],[Nível]],'Regras Premiação'!$T$4:$W$7,IF(Promotores[[#This Row],[% Avi]]&lt;100%,2,IF(Promotores[[#This Row],[% Avi]]&lt;115%,3,4)),0)),0)</f>
        <v>100</v>
      </c>
      <c r="F2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0.61545499999999997</v>
      </c>
      <c r="G2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1.2988274999999998</v>
      </c>
      <c r="I2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125</v>
      </c>
      <c r="J2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0.58065200000000006</v>
      </c>
      <c r="K2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2" s="70">
        <f>IFERROR(IF(Promotores[[#This Row],[Sell Out]]=0,0,IF($H$2&gt;=115%,225,IF($H$2&gt;=100%,150,IF($H$2&gt;=90%,75,0)))),0)</f>
        <v>0</v>
      </c>
      <c r="M22" s="70">
        <f>IF(Promotores[[#This Row],[Sell Out]]=0,0,IFERROR(IF(Promotores[[#This Row],[% App]]&gt;=100%,225,IF(Promotores[[#This Row],[% App]]&gt;=90%,112.5,0)),0))</f>
        <v>0</v>
      </c>
      <c r="N2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9.3704089581903762E-3</v>
      </c>
      <c r="O22" s="70">
        <f>IF(AND(N22&lt;=1.5%,Promotores[[#This Row],[Sell Out]]&gt;0,Promotores[[#This Row],[% Avi]]&lt;&gt;0),225,0)</f>
        <v>225</v>
      </c>
      <c r="P2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450</v>
      </c>
      <c r="Q2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Sul</v>
      </c>
      <c r="R22" s="125">
        <f>IFERROR(VLOOKUP(Promotores[[#This Row],[Promotor]],Base_APP[[Promotor]:[%]],6,0),"")</f>
        <v>0.875</v>
      </c>
      <c r="S2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23" spans="1:38" ht="15.6" x14ac:dyDescent="0.3">
      <c r="A23" s="1" t="s">
        <v>435</v>
      </c>
      <c r="B2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50000</v>
      </c>
      <c r="C23" s="1" t="str">
        <f>IF(Promotores[[#This Row],[Sell Out]]&gt;=300000,"A+",IF(Promotores[[#This Row],[Sell Out]]&gt;=260000,"A",IF(Promotores[[#This Row],[Sell Out]]&gt;=200000,"B","C")))</f>
        <v>C</v>
      </c>
      <c r="D2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2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2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2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2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3" s="70">
        <f>IFERROR(IF(Promotores[[#This Row],[Sell Out]]=0,0,IF($H$2&gt;=115%,225,IF($H$2&gt;=100%,150,IF($H$2&gt;=90%,75,0)))),0)</f>
        <v>0</v>
      </c>
      <c r="M23" s="70">
        <f>IF(Promotores[[#This Row],[Sell Out]]=0,0,IFERROR(IF(Promotores[[#This Row],[% App]]&gt;=100%,225,IF(Promotores[[#This Row],[% App]]&gt;=90%,112.5,0)),0))</f>
        <v>225</v>
      </c>
      <c r="N2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23" s="70">
        <f>IF(AND(N23&lt;=1.5%,Promotores[[#This Row],[Sell Out]]&gt;0,Promotores[[#This Row],[% Avi]]&lt;&gt;0),225,0)</f>
        <v>0</v>
      </c>
      <c r="P2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225</v>
      </c>
      <c r="Q2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23" s="125" t="str">
        <f>IFERROR(VLOOKUP(Promotores[[#This Row],[Promotor]],Base_APP[[Promotor]:[%]],6,0),"")</f>
        <v/>
      </c>
      <c r="S2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  <c r="U23" s="132" t="s">
        <v>573</v>
      </c>
      <c r="V23" s="132" t="s">
        <v>94</v>
      </c>
      <c r="W23" s="132" t="s">
        <v>58</v>
      </c>
      <c r="X23" s="71" t="s">
        <v>3</v>
      </c>
      <c r="Y23" s="71" t="s">
        <v>7</v>
      </c>
      <c r="Z23" s="71" t="s">
        <v>92</v>
      </c>
      <c r="AA23" s="71" t="s">
        <v>9</v>
      </c>
      <c r="AB23" s="71" t="s">
        <v>93</v>
      </c>
      <c r="AC23" s="132" t="s">
        <v>11</v>
      </c>
      <c r="AD23" s="132" t="s">
        <v>12</v>
      </c>
      <c r="AE23" s="132" t="s">
        <v>13</v>
      </c>
      <c r="AF23" s="132" t="s">
        <v>344</v>
      </c>
      <c r="AG23" s="132" t="s">
        <v>345</v>
      </c>
      <c r="AH23" s="132" t="s">
        <v>14</v>
      </c>
      <c r="AI23" s="132" t="s">
        <v>19</v>
      </c>
      <c r="AJ23" s="132" t="s">
        <v>15</v>
      </c>
      <c r="AK23" s="132" t="s">
        <v>16</v>
      </c>
      <c r="AL23" s="133" t="s">
        <v>17</v>
      </c>
    </row>
    <row r="24" spans="1:38" x14ac:dyDescent="0.3">
      <c r="A24" s="1" t="s">
        <v>544</v>
      </c>
      <c r="B2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185057.21</v>
      </c>
      <c r="C24" s="1" t="str">
        <f>IF(Promotores[[#This Row],[Sell Out]]&gt;=300000,"A+",IF(Promotores[[#This Row],[Sell Out]]&gt;=260000,"A",IF(Promotores[[#This Row],[Sell Out]]&gt;=200000,"B","C")))</f>
        <v>C</v>
      </c>
      <c r="D2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0.84193933333333326</v>
      </c>
      <c r="E2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0.67176648648648651</v>
      </c>
      <c r="G2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1.811118</v>
      </c>
      <c r="I2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125</v>
      </c>
      <c r="J2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4" s="70">
        <f>IFERROR(IF(Promotores[[#This Row],[Sell Out]]=0,0,IF($H$2&gt;=115%,225,IF($H$2&gt;=100%,150,IF($H$2&gt;=90%,75,0)))),0)</f>
        <v>0</v>
      </c>
      <c r="M24" s="70">
        <f>IF(Promotores[[#This Row],[Sell Out]]=0,0,IFERROR(IF(Promotores[[#This Row],[% App]]&gt;=100%,225,IF(Promotores[[#This Row],[% App]]&gt;=90%,112.5,0)),0))</f>
        <v>225</v>
      </c>
      <c r="N2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24" s="70">
        <f>IF(AND(N24&lt;=1.5%,Promotores[[#This Row],[Sell Out]]&gt;0,Promotores[[#This Row],[% Avi]]&lt;&gt;0),225,0)</f>
        <v>225</v>
      </c>
      <c r="P2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575</v>
      </c>
      <c r="Q2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Sul</v>
      </c>
      <c r="R24" s="125">
        <f>IFERROR(VLOOKUP(Promotores[[#This Row],[Promotor]],Base_APP[[Promotor]:[%]],6,0),"")</f>
        <v>1.411764705882353</v>
      </c>
      <c r="S2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  <c r="U24" s="134" t="s">
        <v>331</v>
      </c>
      <c r="V24" s="135"/>
      <c r="W24" s="67" t="s">
        <v>430</v>
      </c>
      <c r="X24" s="136">
        <f>$X$18</f>
        <v>0.82458107149256443</v>
      </c>
      <c r="Y24" s="135">
        <f>IF(X24&lt;90%,0,IF(X24&gt;=115%,250,IF(X24&gt;=100%,200,100)))</f>
        <v>0</v>
      </c>
      <c r="Z24" s="136">
        <f>$Z$18</f>
        <v>0.72595768856447696</v>
      </c>
      <c r="AA24" s="135">
        <f>IF(Z24&lt;90%,0,IF(Z24&gt;=115%,250,IF(Z24&gt;=100%,200,100)))</f>
        <v>0</v>
      </c>
      <c r="AB24" s="136">
        <f>$AB$18</f>
        <v>1.034212741020794</v>
      </c>
      <c r="AC24" s="135">
        <f>IF(AB24&lt;90%,0,IF(AB24&gt;=115%,250,IF(AB24&gt;=100%,200,100)))</f>
        <v>200</v>
      </c>
      <c r="AD24" s="136"/>
      <c r="AE24" s="135"/>
      <c r="AF24" s="136"/>
      <c r="AG24" s="135"/>
      <c r="AH24" s="135">
        <f>IF($H$2&gt;=115%,225,IF($H$2&gt;=100%,150,IF($H$2&gt;=90%,75,0)))</f>
        <v>0</v>
      </c>
      <c r="AI24" s="135">
        <v>250</v>
      </c>
      <c r="AJ24" s="177">
        <f>$AJ$18</f>
        <v>1.6406026495998583E-2</v>
      </c>
      <c r="AK24" s="135">
        <f>IF(AJ24&lt;=1.5%,250,0)</f>
        <v>0</v>
      </c>
      <c r="AL24" s="96">
        <f t="shared" ref="AL24" si="3">AK24+AH24+AA24+Y24+AI24+AC24</f>
        <v>450</v>
      </c>
    </row>
    <row r="25" spans="1:38" x14ac:dyDescent="0.3">
      <c r="A25" s="1" t="s">
        <v>86</v>
      </c>
      <c r="B25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25" s="1" t="str">
        <f>IF(Promotores[[#This Row],[Sell Out]]&gt;=300000,"A+",IF(Promotores[[#This Row],[Sell Out]]&gt;=260000,"A",IF(Promotores[[#This Row],[Sell Out]]&gt;=200000,"B","C")))</f>
        <v>C</v>
      </c>
      <c r="D2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25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25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25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2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5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5" s="70">
        <f>IFERROR(IF(Promotores[[#This Row],[Sell Out]]=0,0,IF($H$2&gt;=115%,225,IF($H$2&gt;=100%,150,IF($H$2&gt;=90%,75,0)))),0)</f>
        <v>0</v>
      </c>
      <c r="M25" s="70">
        <f>IF(Promotores[[#This Row],[Sell Out]]=0,0,IFERROR(IF(Promotores[[#This Row],[% App]]&gt;=100%,225,IF(Promotores[[#This Row],[% App]]&gt;=90%,112.5,0)),0))</f>
        <v>0</v>
      </c>
      <c r="N25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25" s="70">
        <f>IF(AND(N25&lt;=1.5%,Promotores[[#This Row],[Sell Out]]&gt;0,Promotores[[#This Row],[% Avi]]&lt;&gt;0),225,0)</f>
        <v>0</v>
      </c>
      <c r="P25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25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25" s="125" t="str">
        <f>IFERROR(VLOOKUP(Promotores[[#This Row],[Promotor]],Base_APP[[Promotor]:[%]],6,0),"")</f>
        <v/>
      </c>
      <c r="S25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26" spans="1:38" ht="15.6" x14ac:dyDescent="0.3">
      <c r="A26" s="1" t="s">
        <v>595</v>
      </c>
      <c r="B2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97272.16</v>
      </c>
      <c r="C26" s="1" t="str">
        <f>IF(Promotores[[#This Row],[Sell Out]]&gt;=300000,"A+",IF(Promotores[[#This Row],[Sell Out]]&gt;=260000,"A",IF(Promotores[[#This Row],[Sell Out]]&gt;=200000,"B","C")))</f>
        <v>C</v>
      </c>
      <c r="D2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0.65537054794520555</v>
      </c>
      <c r="E2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0.67726200000000003</v>
      </c>
      <c r="G2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1.5451657142857143</v>
      </c>
      <c r="I2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125</v>
      </c>
      <c r="J2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6" s="70">
        <f>IFERROR(IF(Promotores[[#This Row],[Sell Out]]=0,0,IF($H$2&gt;=115%,225,IF($H$2&gt;=100%,150,IF($H$2&gt;=90%,75,0)))),0)</f>
        <v>0</v>
      </c>
      <c r="M26" s="70">
        <f>IF(Promotores[[#This Row],[Sell Out]]=0,0,IFERROR(IF(Promotores[[#This Row],[% App]]&gt;=100%,225,IF(Promotores[[#This Row],[% App]]&gt;=90%,112.5,0)),0))</f>
        <v>225</v>
      </c>
      <c r="N2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1.7936104326633159E-3</v>
      </c>
      <c r="O26" s="70">
        <f>IF(AND(N26&lt;=1.5%,Promotores[[#This Row],[Sell Out]]&gt;0,Promotores[[#This Row],[% Avi]]&lt;&gt;0),225,0)</f>
        <v>225</v>
      </c>
      <c r="P2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575</v>
      </c>
      <c r="Q2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Norte</v>
      </c>
      <c r="R26" s="125">
        <f>IFERROR(VLOOKUP(Promotores[[#This Row],[Promotor]],Base_APP[[Promotor]:[%]],6,0),"")</f>
        <v>1.2352941176470589</v>
      </c>
      <c r="S2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  <c r="U26" s="132" t="s">
        <v>470</v>
      </c>
      <c r="V26" s="132" t="s">
        <v>94</v>
      </c>
      <c r="W26" s="132" t="s">
        <v>58</v>
      </c>
      <c r="X26" s="71" t="s">
        <v>3</v>
      </c>
      <c r="Y26" s="71" t="s">
        <v>7</v>
      </c>
      <c r="Z26" s="71" t="s">
        <v>92</v>
      </c>
      <c r="AA26" s="71" t="s">
        <v>9</v>
      </c>
      <c r="AB26" s="71" t="s">
        <v>93</v>
      </c>
      <c r="AC26" s="132" t="s">
        <v>11</v>
      </c>
      <c r="AD26" s="132" t="s">
        <v>12</v>
      </c>
      <c r="AE26" s="132" t="s">
        <v>13</v>
      </c>
      <c r="AF26" s="132" t="s">
        <v>344</v>
      </c>
      <c r="AG26" s="132" t="s">
        <v>345</v>
      </c>
      <c r="AH26" s="132" t="s">
        <v>14</v>
      </c>
      <c r="AI26" s="132" t="s">
        <v>19</v>
      </c>
      <c r="AJ26" s="132" t="s">
        <v>15</v>
      </c>
      <c r="AK26" s="132" t="s">
        <v>16</v>
      </c>
      <c r="AL26" s="133" t="s">
        <v>17</v>
      </c>
    </row>
    <row r="27" spans="1:38" x14ac:dyDescent="0.3">
      <c r="A27" s="1" t="s">
        <v>514</v>
      </c>
      <c r="B2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133948.14000000001</v>
      </c>
      <c r="C27" s="1" t="str">
        <f>IF(Promotores[[#This Row],[Sell Out]]&gt;=300000,"A+",IF(Promotores[[#This Row],[Sell Out]]&gt;=260000,"A",IF(Promotores[[#This Row],[Sell Out]]&gt;=200000,"B","C")))</f>
        <v>C</v>
      </c>
      <c r="D2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0.56809764705882349</v>
      </c>
      <c r="E2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0.48784323809523811</v>
      </c>
      <c r="G2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0.99333090909090904</v>
      </c>
      <c r="I2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50</v>
      </c>
      <c r="J2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7" s="70">
        <f>IFERROR(IF(Promotores[[#This Row],[Sell Out]]=0,0,IF($H$2&gt;=115%,225,IF($H$2&gt;=100%,150,IF($H$2&gt;=90%,75,0)))),0)</f>
        <v>0</v>
      </c>
      <c r="M27" s="70">
        <f>IF(Promotores[[#This Row],[Sell Out]]=0,0,IFERROR(IF(Promotores[[#This Row],[% App]]&gt;=100%,225,IF(Promotores[[#This Row],[% App]]&gt;=90%,112.5,0)),0))</f>
        <v>225</v>
      </c>
      <c r="N2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1.3663506480865964E-2</v>
      </c>
      <c r="O27" s="70">
        <f>IF(AND(N27&lt;=1.5%,Promotores[[#This Row],[Sell Out]]&gt;0,Promotores[[#This Row],[% Avi]]&lt;&gt;0),225,0)</f>
        <v>225</v>
      </c>
      <c r="P2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500</v>
      </c>
      <c r="Q2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Norte</v>
      </c>
      <c r="R27" s="125">
        <f>IFERROR(VLOOKUP(Promotores[[#This Row],[Promotor]],Base_APP[[Promotor]:[%]],6,0),"")</f>
        <v>1.5625</v>
      </c>
      <c r="S2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  <c r="U27" s="134" t="s">
        <v>418</v>
      </c>
      <c r="V27" s="135" t="s">
        <v>430</v>
      </c>
      <c r="W27" s="67" t="s">
        <v>430</v>
      </c>
      <c r="X27" s="136">
        <f>$X$18</f>
        <v>0.82458107149256443</v>
      </c>
      <c r="Y27" s="135">
        <f>IF(X27&lt;90%,0,IF(X27&gt;=115%,225,IF(X27&gt;=100%,150,75)))</f>
        <v>0</v>
      </c>
      <c r="Z27" s="136">
        <f>$Z$18</f>
        <v>0.72595768856447696</v>
      </c>
      <c r="AA27" s="135">
        <f>IF(Z27&lt;90%,0,IF(Z27&gt;=115%,225,IF(Z27&gt;=100%,150,75)))</f>
        <v>0</v>
      </c>
      <c r="AB27" s="136">
        <f>$AB$18</f>
        <v>1.034212741020794</v>
      </c>
      <c r="AC27" s="135">
        <f>IF(AB27&lt;90%,0,IF(AB27&gt;=115%,225,IF(AB27&gt;=100%,150,75)))</f>
        <v>150</v>
      </c>
      <c r="AD27" s="136"/>
      <c r="AE27" s="135"/>
      <c r="AF27" s="136"/>
      <c r="AG27" s="135"/>
      <c r="AH27" s="135">
        <f>IF($H$2&gt;=115%,225,IF($H$2&gt;=100%,150,IF($H$2&gt;=90%,75,0)))</f>
        <v>0</v>
      </c>
      <c r="AI27" s="135">
        <v>225</v>
      </c>
      <c r="AJ27" s="177">
        <f>$AJ$18</f>
        <v>1.6406026495998583E-2</v>
      </c>
      <c r="AK27" s="135">
        <f>IF(AJ27&lt;=1.5%,225,0)</f>
        <v>0</v>
      </c>
      <c r="AL27" s="96">
        <f>IF(Assistentes16[[#This Row],[Auxiliar]]="",0,AK27+AH27+AA27+Y27+AI27+AC27)</f>
        <v>375</v>
      </c>
    </row>
    <row r="28" spans="1:38" x14ac:dyDescent="0.3">
      <c r="A28" s="1" t="s">
        <v>593</v>
      </c>
      <c r="B2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162148.42000000001</v>
      </c>
      <c r="C28" s="1" t="str">
        <f>IF(Promotores[[#This Row],[Sell Out]]&gt;=300000,"A+",IF(Promotores[[#This Row],[Sell Out]]&gt;=260000,"A",IF(Promotores[[#This Row],[Sell Out]]&gt;=200000,"B","C")))</f>
        <v>C</v>
      </c>
      <c r="D2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0.61876744047619048</v>
      </c>
      <c r="E2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0.46771088495575225</v>
      </c>
      <c r="G2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0.76345142857142856</v>
      </c>
      <c r="I2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2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8" s="70">
        <f>IFERROR(IF(Promotores[[#This Row],[Sell Out]]=0,0,IF($H$2&gt;=115%,225,IF($H$2&gt;=100%,150,IF($H$2&gt;=90%,75,0)))),0)</f>
        <v>0</v>
      </c>
      <c r="M28" s="70">
        <f>IF(Promotores[[#This Row],[Sell Out]]=0,0,IFERROR(IF(Promotores[[#This Row],[% App]]&gt;=100%,225,IF(Promotores[[#This Row],[% App]]&gt;=90%,112.5,0)),0))</f>
        <v>225</v>
      </c>
      <c r="N2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2.9257472588795712E-3</v>
      </c>
      <c r="O28" s="70">
        <f>IF(AND(N28&lt;=1.5%,Promotores[[#This Row],[Sell Out]]&gt;0,Promotores[[#This Row],[% Avi]]&lt;&gt;0),225,0)</f>
        <v>225</v>
      </c>
      <c r="P2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450</v>
      </c>
      <c r="Q2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Norte</v>
      </c>
      <c r="R28" s="125">
        <f>IFERROR(VLOOKUP(Promotores[[#This Row],[Promotor]],Base_APP[[Promotor]:[%]],6,0),"")</f>
        <v>1</v>
      </c>
      <c r="S2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29" spans="1:38" x14ac:dyDescent="0.3">
      <c r="A29" s="1" t="s">
        <v>578</v>
      </c>
      <c r="B2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155625.80000000002</v>
      </c>
      <c r="C29" s="1" t="str">
        <f>IF(Promotores[[#This Row],[Sell Out]]&gt;=300000,"A+",IF(Promotores[[#This Row],[Sell Out]]&gt;=260000,"A",IF(Promotores[[#This Row],[Sell Out]]&gt;=200000,"B","C")))</f>
        <v>C</v>
      </c>
      <c r="D2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0.61552232044198896</v>
      </c>
      <c r="E2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2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0.51814885964912283</v>
      </c>
      <c r="G2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2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0.69004999999999983</v>
      </c>
      <c r="I2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2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2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29" s="70">
        <f>IFERROR(IF(Promotores[[#This Row],[Sell Out]]=0,0,IF($H$2&gt;=115%,225,IF($H$2&gt;=100%,150,IF($H$2&gt;=90%,75,0)))),0)</f>
        <v>0</v>
      </c>
      <c r="M29" s="70">
        <f>IF(Promotores[[#This Row],[Sell Out]]=0,0,IFERROR(IF(Promotores[[#This Row],[% App]]&gt;=100%,225,IF(Promotores[[#This Row],[% App]]&gt;=90%,112.5,0)),0))</f>
        <v>0</v>
      </c>
      <c r="N2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3.4651492888620001E-3</v>
      </c>
      <c r="O29" s="70">
        <f>IF(AND(N29&lt;=1.5%,Promotores[[#This Row],[Sell Out]]&gt;0,Promotores[[#This Row],[% Avi]]&lt;&gt;0),225,0)</f>
        <v>225</v>
      </c>
      <c r="P2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225</v>
      </c>
      <c r="Q2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Norte</v>
      </c>
      <c r="R29" s="125">
        <f>IFERROR(VLOOKUP(Promotores[[#This Row],[Promotor]],Base_APP[[Promotor]:[%]],6,0),"")</f>
        <v>0.8125</v>
      </c>
      <c r="S2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30" spans="1:38" x14ac:dyDescent="0.3">
      <c r="A30" s="1" t="s">
        <v>78</v>
      </c>
      <c r="B3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110618.31</v>
      </c>
      <c r="C30" s="1" t="str">
        <f>IF(Promotores[[#This Row],[Sell Out]]&gt;=300000,"A+",IF(Promotores[[#This Row],[Sell Out]]&gt;=260000,"A",IF(Promotores[[#This Row],[Sell Out]]&gt;=200000,"B","C")))</f>
        <v>C</v>
      </c>
      <c r="D3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0.77104799999999996</v>
      </c>
      <c r="E3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0.39805740000000001</v>
      </c>
      <c r="G3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0.98336000000000001</v>
      </c>
      <c r="I3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50</v>
      </c>
      <c r="J3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0" s="70">
        <f>IFERROR(IF(Promotores[[#This Row],[Sell Out]]=0,0,IF($H$2&gt;=115%,225,IF($H$2&gt;=100%,150,IF($H$2&gt;=90%,75,0)))),0)</f>
        <v>0</v>
      </c>
      <c r="M30" s="70">
        <f>IF(Promotores[[#This Row],[Sell Out]]=0,0,IFERROR(IF(Promotores[[#This Row],[% App]]&gt;=100%,225,IF(Promotores[[#This Row],[% App]]&gt;=90%,112.5,0)),0))</f>
        <v>225</v>
      </c>
      <c r="N3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4.6512845326926941E-3</v>
      </c>
      <c r="O30" s="70">
        <f>IF(AND(N30&lt;=1.5%,Promotores[[#This Row],[Sell Out]]&gt;0,Promotores[[#This Row],[% Avi]]&lt;&gt;0),225,0)</f>
        <v>225</v>
      </c>
      <c r="P3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500</v>
      </c>
      <c r="Q3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Norte</v>
      </c>
      <c r="R30" s="125">
        <f>IFERROR(VLOOKUP(Promotores[[#This Row],[Promotor]],Base_APP[[Promotor]:[%]],6,0),"")</f>
        <v>1</v>
      </c>
      <c r="S3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31" spans="1:38" x14ac:dyDescent="0.3">
      <c r="A31" s="1" t="s">
        <v>575</v>
      </c>
      <c r="B3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31" s="1" t="str">
        <f>IF(Promotores[[#This Row],[Sell Out]]&gt;=300000,"A+",IF(Promotores[[#This Row],[Sell Out]]&gt;=260000,"A",IF(Promotores[[#This Row],[Sell Out]]&gt;=200000,"B","C")))</f>
        <v>C</v>
      </c>
      <c r="D3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31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3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1" s="70">
        <f>IFERROR(IF(Promotores[[#This Row],[Sell Out]]=0,0,IF($H$2&gt;=115%,225,IF($H$2&gt;=100%,150,IF($H$2&gt;=90%,75,0)))),0)</f>
        <v>0</v>
      </c>
      <c r="M31" s="70">
        <f>IF(Promotores[[#This Row],[Sell Out]]=0,0,IFERROR(IF(Promotores[[#This Row],[% App]]&gt;=100%,225,IF(Promotores[[#This Row],[% App]]&gt;=90%,112.5,0)),0))</f>
        <v>0</v>
      </c>
      <c r="N3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31" s="70">
        <f>IF(AND(N31&lt;=1.5%,Promotores[[#This Row],[Sell Out]]&gt;0,Promotores[[#This Row],[% Avi]]&lt;&gt;0),225,0)</f>
        <v>0</v>
      </c>
      <c r="P3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3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31" s="125" t="str">
        <f>IFERROR(VLOOKUP(Promotores[[#This Row],[Promotor]],Base_APP[[Promotor]:[%]],6,0),"")</f>
        <v/>
      </c>
      <c r="S3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32" spans="1:38" x14ac:dyDescent="0.3">
      <c r="A32" s="1" t="s">
        <v>65</v>
      </c>
      <c r="B3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179651.74</v>
      </c>
      <c r="C32" s="1" t="str">
        <f>IF(Promotores[[#This Row],[Sell Out]]&gt;=300000,"A+",IF(Promotores[[#This Row],[Sell Out]]&gt;=260000,"A",IF(Promotores[[#This Row],[Sell Out]]&gt;=200000,"B","C")))</f>
        <v>C</v>
      </c>
      <c r="D3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0.7048596250000001</v>
      </c>
      <c r="E32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0.55334743362831851</v>
      </c>
      <c r="G3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1.0864850000000001</v>
      </c>
      <c r="I3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100</v>
      </c>
      <c r="J3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2" s="70">
        <f>IFERROR(IF(Promotores[[#This Row],[Sell Out]]=0,0,IF($H$2&gt;=115%,225,IF($H$2&gt;=100%,150,IF($H$2&gt;=90%,75,0)))),0)</f>
        <v>0</v>
      </c>
      <c r="M32" s="70">
        <f>IF(Promotores[[#This Row],[Sell Out]]=0,0,IFERROR(IF(Promotores[[#This Row],[% App]]&gt;=100%,225,IF(Promotores[[#This Row],[% App]]&gt;=90%,112.5,0)),0))</f>
        <v>0</v>
      </c>
      <c r="N3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1.6299433380086138E-2</v>
      </c>
      <c r="O32" s="70">
        <f>IF(AND(N32&lt;=1.5%,Promotores[[#This Row],[Sell Out]]&gt;0,Promotores[[#This Row],[% Avi]]&lt;&gt;0),225,0)</f>
        <v>0</v>
      </c>
      <c r="P3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100</v>
      </c>
      <c r="Q3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Sul</v>
      </c>
      <c r="R32" s="125">
        <f>IFERROR(VLOOKUP(Promotores[[#This Row],[Promotor]],Base_APP[[Promotor]:[%]],6,0),"")</f>
        <v>0.875</v>
      </c>
      <c r="S3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33" spans="1:19" x14ac:dyDescent="0.3">
      <c r="A33" s="1" t="s">
        <v>566</v>
      </c>
      <c r="B3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196862.00999999998</v>
      </c>
      <c r="C33" s="1" t="str">
        <f>IF(Promotores[[#This Row],[Sell Out]]&gt;=300000,"A+",IF(Promotores[[#This Row],[Sell Out]]&gt;=260000,"A",IF(Promotores[[#This Row],[Sell Out]]&gt;=200000,"B","C")))</f>
        <v>C</v>
      </c>
      <c r="D3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0.5854902339181286</v>
      </c>
      <c r="E3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0.70399730769230762</v>
      </c>
      <c r="G3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1.0447059999999999</v>
      </c>
      <c r="I3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100</v>
      </c>
      <c r="J3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3" s="70">
        <f>IFERROR(IF(Promotores[[#This Row],[Sell Out]]=0,0,IF($H$2&gt;=115%,225,IF($H$2&gt;=100%,150,IF($H$2&gt;=90%,75,0)))),0)</f>
        <v>0</v>
      </c>
      <c r="M33" s="70">
        <f>IF(Promotores[[#This Row],[Sell Out]]=0,0,IFERROR(IF(Promotores[[#This Row],[% App]]&gt;=100%,225,IF(Promotores[[#This Row],[% App]]&gt;=90%,112.5,0)),0))</f>
        <v>112.5</v>
      </c>
      <c r="N3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2.8768814018302058E-3</v>
      </c>
      <c r="O33" s="70">
        <f>IF(AND(N33&lt;=1.5%,Promotores[[#This Row],[Sell Out]]&gt;0,Promotores[[#This Row],[% Avi]]&lt;&gt;0),225,0)</f>
        <v>225</v>
      </c>
      <c r="P3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437.5</v>
      </c>
      <c r="Q3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Pará Sul</v>
      </c>
      <c r="R33" s="125">
        <f>IFERROR(VLOOKUP(Promotores[[#This Row],[Promotor]],Base_APP[[Promotor]:[%]],6,0),"")</f>
        <v>0.9375</v>
      </c>
      <c r="S3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34" spans="1:19" x14ac:dyDescent="0.3">
      <c r="A34" s="1" t="s">
        <v>562</v>
      </c>
      <c r="B3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54922.31</v>
      </c>
      <c r="C34" s="1" t="str">
        <f>IF(Promotores[[#This Row],[Sell Out]]&gt;=300000,"A+",IF(Promotores[[#This Row],[Sell Out]]&gt;=260000,"A",IF(Promotores[[#This Row],[Sell Out]]&gt;=200000,"B","C")))</f>
        <v>C</v>
      </c>
      <c r="D3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3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3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4" s="70">
        <f>IFERROR(IF(Promotores[[#This Row],[Sell Out]]=0,0,IF($H$2&gt;=115%,225,IF($H$2&gt;=100%,150,IF($H$2&gt;=90%,75,0)))),0)</f>
        <v>0</v>
      </c>
      <c r="M34" s="70">
        <f>IF(Promotores[[#This Row],[Sell Out]]=0,0,IFERROR(IF(Promotores[[#This Row],[% App]]&gt;=100%,225,IF(Promotores[[#This Row],[% App]]&gt;=90%,112.5,0)),0))</f>
        <v>225</v>
      </c>
      <c r="N3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1.2239720362607395E-2</v>
      </c>
      <c r="O34" s="70">
        <f>IF(AND(N34&lt;=1.5%,Promotores[[#This Row],[Sell Out]]&gt;0,Promotores[[#This Row],[% Avi]]&lt;&gt;0),225,0)</f>
        <v>0</v>
      </c>
      <c r="P3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225</v>
      </c>
      <c r="Q3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Piauí</v>
      </c>
      <c r="R34" s="125" t="str">
        <f>IFERROR(VLOOKUP(Promotores[[#This Row],[Promotor]],Base_APP[[Promotor]:[%]],6,0),"")</f>
        <v/>
      </c>
      <c r="S3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35" spans="1:19" x14ac:dyDescent="0.3">
      <c r="A35" s="1" t="s">
        <v>580</v>
      </c>
      <c r="B35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35" s="1" t="str">
        <f>IF(Promotores[[#This Row],[Sell Out]]&gt;=300000,"A+",IF(Promotores[[#This Row],[Sell Out]]&gt;=260000,"A",IF(Promotores[[#This Row],[Sell Out]]&gt;=200000,"B","C")))</f>
        <v>C</v>
      </c>
      <c r="D3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35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5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35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5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5" s="70">
        <f>IFERROR(IF(Promotores[[#This Row],[Sell Out]]=0,0,IF($H$2&gt;=115%,225,IF($H$2&gt;=100%,150,IF($H$2&gt;=90%,75,0)))),0)</f>
        <v>0</v>
      </c>
      <c r="M35" s="70">
        <f>IF(Promotores[[#This Row],[Sell Out]]=0,0,IFERROR(IF(Promotores[[#This Row],[% App]]&gt;=100%,225,IF(Promotores[[#This Row],[% App]]&gt;=90%,112.5,0)),0))</f>
        <v>0</v>
      </c>
      <c r="N35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35" s="70">
        <f>IF(AND(N35&lt;=1.5%,Promotores[[#This Row],[Sell Out]]&gt;0,Promotores[[#This Row],[% Avi]]&lt;&gt;0),225,0)</f>
        <v>0</v>
      </c>
      <c r="P35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35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35" s="125" t="str">
        <f>IFERROR(VLOOKUP(Promotores[[#This Row],[Promotor]],Base_APP[[Promotor]:[%]],6,0),"")</f>
        <v/>
      </c>
      <c r="S35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36" spans="1:19" x14ac:dyDescent="0.3">
      <c r="A36" s="1" t="s">
        <v>355</v>
      </c>
      <c r="B3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25623.439999999999</v>
      </c>
      <c r="C36" s="1" t="str">
        <f>IF(Promotores[[#This Row],[Sell Out]]&gt;=300000,"A+",IF(Promotores[[#This Row],[Sell Out]]&gt;=260000,"A",IF(Promotores[[#This Row],[Sell Out]]&gt;=200000,"B","C")))</f>
        <v>C</v>
      </c>
      <c r="D3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0.51246879999999995</v>
      </c>
      <c r="E3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8.0810000000000007E-2</v>
      </c>
      <c r="I3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6" s="70">
        <f>IFERROR(IF(Promotores[[#This Row],[Sell Out]]=0,0,IF($H$2&gt;=115%,225,IF($H$2&gt;=100%,150,IF($H$2&gt;=90%,75,0)))),0)</f>
        <v>0</v>
      </c>
      <c r="M36" s="70">
        <f>IF(Promotores[[#This Row],[Sell Out]]=0,0,IFERROR(IF(Promotores[[#This Row],[% App]]&gt;=100%,225,IF(Promotores[[#This Row],[% App]]&gt;=90%,112.5,0)),0))</f>
        <v>225</v>
      </c>
      <c r="N3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4.6017630731861145E-2</v>
      </c>
      <c r="O36" s="70">
        <f>IF(AND(N36&lt;=1.5%,Promotores[[#This Row],[Sell Out]]&gt;0,Promotores[[#This Row],[% Avi]]&lt;&gt;0),225,0)</f>
        <v>0</v>
      </c>
      <c r="P3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225</v>
      </c>
      <c r="Q3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Piauí</v>
      </c>
      <c r="R36" s="125" t="str">
        <f>IFERROR(VLOOKUP(Promotores[[#This Row],[Promotor]],Base_APP[[Promotor]:[%]],6,0),"")</f>
        <v/>
      </c>
      <c r="S3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37" spans="1:19" x14ac:dyDescent="0.3">
      <c r="A37" s="1" t="s">
        <v>561</v>
      </c>
      <c r="B3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37" s="1" t="str">
        <f>IF(Promotores[[#This Row],[Sell Out]]&gt;=300000,"A+",IF(Promotores[[#This Row],[Sell Out]]&gt;=260000,"A",IF(Promotores[[#This Row],[Sell Out]]&gt;=200000,"B","C")))</f>
        <v>C</v>
      </c>
      <c r="D3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3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3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7" s="70">
        <f>IFERROR(IF(Promotores[[#This Row],[Sell Out]]=0,0,IF($H$2&gt;=115%,225,IF($H$2&gt;=100%,150,IF($H$2&gt;=90%,75,0)))),0)</f>
        <v>0</v>
      </c>
      <c r="M37" s="70">
        <f>IF(Promotores[[#This Row],[Sell Out]]=0,0,IFERROR(IF(Promotores[[#This Row],[% App]]&gt;=100%,225,IF(Promotores[[#This Row],[% App]]&gt;=90%,112.5,0)),0))</f>
        <v>0</v>
      </c>
      <c r="N3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37" s="70">
        <f>IF(AND(N37&lt;=1.5%,Promotores[[#This Row],[Sell Out]]&gt;0,Promotores[[#This Row],[% Avi]]&lt;&gt;0),225,0)</f>
        <v>0</v>
      </c>
      <c r="P3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3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37" s="125" t="str">
        <f>IFERROR(VLOOKUP(Promotores[[#This Row],[Promotor]],Base_APP[[Promotor]:[%]],6,0),"")</f>
        <v/>
      </c>
      <c r="S3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38" spans="1:19" x14ac:dyDescent="0.3">
      <c r="A38" s="1" t="s">
        <v>543</v>
      </c>
      <c r="B3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27036.82</v>
      </c>
      <c r="C38" s="1" t="str">
        <f>IF(Promotores[[#This Row],[Sell Out]]&gt;=300000,"A+",IF(Promotores[[#This Row],[Sell Out]]&gt;=260000,"A",IF(Promotores[[#This Row],[Sell Out]]&gt;=200000,"B","C")))</f>
        <v>C</v>
      </c>
      <c r="D3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0.54073640000000001</v>
      </c>
      <c r="E3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0.19871333333333333</v>
      </c>
      <c r="I3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8" s="70">
        <f>IFERROR(IF(Promotores[[#This Row],[Sell Out]]=0,0,IF($H$2&gt;=115%,225,IF($H$2&gt;=100%,150,IF($H$2&gt;=90%,75,0)))),0)</f>
        <v>0</v>
      </c>
      <c r="M38" s="70">
        <f>IF(Promotores[[#This Row],[Sell Out]]=0,0,IFERROR(IF(Promotores[[#This Row],[% App]]&gt;=100%,225,IF(Promotores[[#This Row],[% App]]&gt;=90%,112.5,0)),0))</f>
        <v>225</v>
      </c>
      <c r="N3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38" s="70">
        <f>IF(AND(N38&lt;=1.5%,Promotores[[#This Row],[Sell Out]]&gt;0,Promotores[[#This Row],[% Avi]]&lt;&gt;0),225,0)</f>
        <v>225</v>
      </c>
      <c r="P3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450</v>
      </c>
      <c r="Q3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Piauí</v>
      </c>
      <c r="R38" s="125" t="str">
        <f>IFERROR(VLOOKUP(Promotores[[#This Row],[Promotor]],Base_APP[[Promotor]:[%]],6,0),"")</f>
        <v/>
      </c>
      <c r="S3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39" spans="1:19" x14ac:dyDescent="0.3">
      <c r="A39" s="1" t="s">
        <v>563</v>
      </c>
      <c r="B3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39" s="1" t="str">
        <f>IF(Promotores[[#This Row],[Sell Out]]&gt;=300000,"A+",IF(Promotores[[#This Row],[Sell Out]]&gt;=260000,"A",IF(Promotores[[#This Row],[Sell Out]]&gt;=200000,"B","C")))</f>
        <v>C</v>
      </c>
      <c r="D3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3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3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3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3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3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3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3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39" s="70">
        <f>IFERROR(IF(Promotores[[#This Row],[Sell Out]]=0,0,IF($H$2&gt;=115%,225,IF($H$2&gt;=100%,150,IF($H$2&gt;=90%,75,0)))),0)</f>
        <v>0</v>
      </c>
      <c r="M39" s="70">
        <f>IF(Promotores[[#This Row],[Sell Out]]=0,0,IFERROR(IF(Promotores[[#This Row],[% App]]&gt;=100%,225,IF(Promotores[[#This Row],[% App]]&gt;=90%,112.5,0)),0))</f>
        <v>0</v>
      </c>
      <c r="N3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39" s="70">
        <f>IF(AND(N39&lt;=1.5%,Promotores[[#This Row],[Sell Out]]&gt;0,Promotores[[#This Row],[% Avi]]&lt;&gt;0),225,0)</f>
        <v>0</v>
      </c>
      <c r="P3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3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39" s="125" t="str">
        <f>IFERROR(VLOOKUP(Promotores[[#This Row],[Promotor]],Base_APP[[Promotor]:[%]],6,0),"")</f>
        <v/>
      </c>
      <c r="S3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40" spans="1:19" x14ac:dyDescent="0.3">
      <c r="A40" s="1" t="s">
        <v>62</v>
      </c>
      <c r="B4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40" s="1" t="str">
        <f>IF(Promotores[[#This Row],[Sell Out]]&gt;=300000,"A+",IF(Promotores[[#This Row],[Sell Out]]&gt;=260000,"A",IF(Promotores[[#This Row],[Sell Out]]&gt;=200000,"B","C")))</f>
        <v>C</v>
      </c>
      <c r="D4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0" s="70">
        <f>IFERROR(IF(Promotores[[#This Row],[Sell Out]]=0,0,IF($H$2&gt;=115%,225,IF($H$2&gt;=100%,150,IF($H$2&gt;=90%,75,0)))),0)</f>
        <v>0</v>
      </c>
      <c r="M40" s="70">
        <f>IF(Promotores[[#This Row],[Sell Out]]=0,0,IFERROR(IF(Promotores[[#This Row],[% App]]&gt;=100%,225,IF(Promotores[[#This Row],[% App]]&gt;=90%,112.5,0)),0))</f>
        <v>0</v>
      </c>
      <c r="N4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40" s="70">
        <f>IF(AND(N40&lt;=1.5%,Promotores[[#This Row],[Sell Out]]&gt;0,Promotores[[#This Row],[% Avi]]&lt;&gt;0),225,0)</f>
        <v>0</v>
      </c>
      <c r="P4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40" s="125" t="str">
        <f>IFERROR(VLOOKUP(Promotores[[#This Row],[Promotor]],Base_APP[[Promotor]:[%]],6,0),"")</f>
        <v/>
      </c>
      <c r="S4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41" spans="1:19" x14ac:dyDescent="0.3">
      <c r="A41" s="1" t="s">
        <v>551</v>
      </c>
      <c r="B4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300945.32</v>
      </c>
      <c r="C41" s="1" t="s">
        <v>586</v>
      </c>
      <c r="D4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1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1" s="70">
        <f>IFERROR(IF(Promotores[[#This Row],[Sell Out]]=0,0,IF($H$2&gt;=115%,225,IF($H$2&gt;=100%,150,IF($H$2&gt;=90%,75,0)))),0)</f>
        <v>0</v>
      </c>
      <c r="M41" s="70">
        <f>IF(Promotores[[#This Row],[Sell Out]]=0,0,IFERROR(IF(Promotores[[#This Row],[% App]]&gt;=100%,225,IF(Promotores[[#This Row],[% App]]&gt;=90%,112.5,0)),0))</f>
        <v>0</v>
      </c>
      <c r="N4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1.8471502234543021E-2</v>
      </c>
      <c r="O41" s="70">
        <f>IF(AND(N41&lt;=1.5%,Promotores[[#This Row],[Sell Out]]&gt;0,Promotores[[#This Row],[% Avi]]&lt;&gt;0),225,0)</f>
        <v>0</v>
      </c>
      <c r="P4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1485</v>
      </c>
      <c r="Q4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41" s="125">
        <f>IFERROR(VLOOKUP(Promotores[[#This Row],[Promotor]],Base_APP[[Promotor]:[%]],6,0),"")</f>
        <v>0.375</v>
      </c>
      <c r="S4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42" spans="1:19" x14ac:dyDescent="0.3">
      <c r="A42" s="1" t="s">
        <v>606</v>
      </c>
      <c r="B4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42" s="1" t="str">
        <f>IF(Promotores[[#This Row],[Sell Out]]&gt;=300000,"A+",IF(Promotores[[#This Row],[Sell Out]]&gt;=260000,"A",IF(Promotores[[#This Row],[Sell Out]]&gt;=200000,"B","C")))</f>
        <v>C</v>
      </c>
      <c r="D4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2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2" s="70">
        <f>IFERROR(IF(Promotores[[#This Row],[Sell Out]]=0,0,IF($H$2&gt;=115%,225,IF($H$2&gt;=100%,150,IF($H$2&gt;=90%,75,0)))),0)</f>
        <v>0</v>
      </c>
      <c r="M42" s="70">
        <f>IF(Promotores[[#This Row],[Sell Out]]=0,0,IFERROR(IF(Promotores[[#This Row],[% App]]&gt;=100%,225,IF(Promotores[[#This Row],[% App]]&gt;=90%,112.5,0)),0))</f>
        <v>0</v>
      </c>
      <c r="N4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42" s="70">
        <f>IF(AND(N42&lt;=1.5%,Promotores[[#This Row],[Sell Out]]&gt;0,Promotores[[#This Row],[% Avi]]&lt;&gt;0),225,0)</f>
        <v>0</v>
      </c>
      <c r="P4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42" s="125" t="str">
        <f>IFERROR(VLOOKUP(Promotores[[#This Row],[Promotor]],Base_APP[[Promotor]:[%]],6,0),"")</f>
        <v/>
      </c>
      <c r="S4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43" spans="1:19" x14ac:dyDescent="0.3">
      <c r="A43" s="1" t="s">
        <v>357</v>
      </c>
      <c r="B4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328108.69</v>
      </c>
      <c r="C43" s="1" t="str">
        <f>IF(Promotores[[#This Row],[Sell Out]]&gt;=300000,"A+",IF(Promotores[[#This Row],[Sell Out]]&gt;=260000,"A",IF(Promotores[[#This Row],[Sell Out]]&gt;=200000,"B","C")))</f>
        <v>A+</v>
      </c>
      <c r="D4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0.81014491358024687</v>
      </c>
      <c r="E4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0.79400520599250923</v>
      </c>
      <c r="G4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0.98325282051282037</v>
      </c>
      <c r="I4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100</v>
      </c>
      <c r="J4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0.31489612903225811</v>
      </c>
      <c r="K4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3" s="70">
        <f>IFERROR(IF(Promotores[[#This Row],[Sell Out]]=0,0,IF($H$2&gt;=115%,225,IF($H$2&gt;=100%,150,IF($H$2&gt;=90%,75,0)))),0)</f>
        <v>0</v>
      </c>
      <c r="M43" s="70">
        <f>IF(Promotores[[#This Row],[Sell Out]]=0,0,IFERROR(IF(Promotores[[#This Row],[% App]]&gt;=100%,225,IF(Promotores[[#This Row],[% App]]&gt;=90%,112.5,0)),0))</f>
        <v>225</v>
      </c>
      <c r="N4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5.7947261317583508E-3</v>
      </c>
      <c r="O43" s="70">
        <f>IF(AND(N43&lt;=1.5%,Promotores[[#This Row],[Sell Out]]&gt;0,Promotores[[#This Row],[% Avi]]&lt;&gt;0),225,0)</f>
        <v>225</v>
      </c>
      <c r="P4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550</v>
      </c>
      <c r="Q4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43" s="125">
        <f>IFERROR(VLOOKUP(Promotores[[#This Row],[Promotor]],Base_APP[[Promotor]:[%]],6,0),"")</f>
        <v>1.125</v>
      </c>
      <c r="S4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44" spans="1:19" x14ac:dyDescent="0.3">
      <c r="A44" s="1" t="s">
        <v>549</v>
      </c>
      <c r="B4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234687.88000000003</v>
      </c>
      <c r="C44" s="1" t="str">
        <f>IF(Promotores[[#This Row],[Sell Out]]&gt;=300000,"A+",IF(Promotores[[#This Row],[Sell Out]]&gt;=260000,"A",IF(Promotores[[#This Row],[Sell Out]]&gt;=200000,"B","C")))</f>
        <v>B</v>
      </c>
      <c r="D4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0.84572209009009025</v>
      </c>
      <c r="E4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0.82092100719424455</v>
      </c>
      <c r="G4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1.3486483333333332</v>
      </c>
      <c r="I4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175</v>
      </c>
      <c r="J4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0.71114476190476195</v>
      </c>
      <c r="K4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4" s="70">
        <f>IFERROR(IF(Promotores[[#This Row],[Sell Out]]=0,0,IF($H$2&gt;=115%,225,IF($H$2&gt;=100%,150,IF($H$2&gt;=90%,75,0)))),0)</f>
        <v>0</v>
      </c>
      <c r="M44" s="70">
        <f>IF(Promotores[[#This Row],[Sell Out]]=0,0,IFERROR(IF(Promotores[[#This Row],[% App]]&gt;=100%,225,IF(Promotores[[#This Row],[% App]]&gt;=90%,112.5,0)),0))</f>
        <v>112.5</v>
      </c>
      <c r="N4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2.6385682976044607E-2</v>
      </c>
      <c r="O44" s="70">
        <f>IF(AND(N44&lt;=1.5%,Promotores[[#This Row],[Sell Out]]&gt;0,Promotores[[#This Row],[% Avi]]&lt;&gt;0),225,0)</f>
        <v>0</v>
      </c>
      <c r="P4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287.5</v>
      </c>
      <c r="Q4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44" s="125">
        <f>IFERROR(VLOOKUP(Promotores[[#This Row],[Promotor]],Base_APP[[Promotor]:[%]],6,0),"")</f>
        <v>0.92307692307692313</v>
      </c>
      <c r="S4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45" spans="1:19" x14ac:dyDescent="0.3">
      <c r="A45" s="1" t="s">
        <v>471</v>
      </c>
      <c r="B45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45" s="1" t="str">
        <f>IF(Promotores[[#This Row],[Sell Out]]&gt;=300000,"A+",IF(Promotores[[#This Row],[Sell Out]]&gt;=260000,"A",IF(Promotores[[#This Row],[Sell Out]]&gt;=200000,"B","C")))</f>
        <v>C</v>
      </c>
      <c r="D4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5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5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5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5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5" s="70">
        <f>IFERROR(IF(Promotores[[#This Row],[Sell Out]]=0,0,IF($H$2&gt;=115%,225,IF($H$2&gt;=100%,150,IF($H$2&gt;=90%,75,0)))),0)</f>
        <v>0</v>
      </c>
      <c r="M45" s="70">
        <f>IF(Promotores[[#This Row],[Sell Out]]=0,0,IFERROR(IF(Promotores[[#This Row],[% App]]&gt;=100%,225,IF(Promotores[[#This Row],[% App]]&gt;=90%,112.5,0)),0))</f>
        <v>0</v>
      </c>
      <c r="N45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45" s="70">
        <f>IF(AND(N45&lt;=1.5%,Promotores[[#This Row],[Sell Out]]&gt;0,Promotores[[#This Row],[% Avi]]&lt;&gt;0),225,0)</f>
        <v>0</v>
      </c>
      <c r="P45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5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45" s="125" t="str">
        <f>IFERROR(VLOOKUP(Promotores[[#This Row],[Promotor]],Base_APP[[Promotor]:[%]],6,0),"")</f>
        <v/>
      </c>
      <c r="S45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46" spans="1:19" x14ac:dyDescent="0.3">
      <c r="A46" s="1" t="s">
        <v>603</v>
      </c>
      <c r="B4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46" s="1" t="str">
        <f>IF(Promotores[[#This Row],[Sell Out]]&gt;=300000,"A+",IF(Promotores[[#This Row],[Sell Out]]&gt;=260000,"A",IF(Promotores[[#This Row],[Sell Out]]&gt;=200000,"B","C")))</f>
        <v>C</v>
      </c>
      <c r="D4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6" s="70">
        <f>IFERROR(IF(Promotores[[#This Row],[Sell Out]]=0,0,IF($H$2&gt;=115%,225,IF($H$2&gt;=100%,150,IF($H$2&gt;=90%,75,0)))),0)</f>
        <v>0</v>
      </c>
      <c r="M46" s="70">
        <f>IF(Promotores[[#This Row],[Sell Out]]=0,0,IFERROR(IF(Promotores[[#This Row],[% App]]&gt;=100%,225,IF(Promotores[[#This Row],[% App]]&gt;=90%,112.5,0)),0))</f>
        <v>0</v>
      </c>
      <c r="N4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46" s="70">
        <f>IF(AND(N46&lt;=1.5%,Promotores[[#This Row],[Sell Out]]&gt;0,Promotores[[#This Row],[% Avi]]&lt;&gt;0),225,0)</f>
        <v>0</v>
      </c>
      <c r="P4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46" s="125">
        <f>IFERROR(VLOOKUP(Promotores[[#This Row],[Promotor]],Base_APP[[Promotor]:[%]],6,0),"")</f>
        <v>0.58823529411764708</v>
      </c>
      <c r="S4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47" spans="1:19" x14ac:dyDescent="0.3">
      <c r="A47" s="1" t="s">
        <v>558</v>
      </c>
      <c r="B4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47" s="1" t="str">
        <f>IF(Promotores[[#This Row],[Sell Out]]&gt;=300000,"A+",IF(Promotores[[#This Row],[Sell Out]]&gt;=260000,"A",IF(Promotores[[#This Row],[Sell Out]]&gt;=200000,"B","C")))</f>
        <v>C</v>
      </c>
      <c r="D4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7" s="70">
        <f>IFERROR(IF(Promotores[[#This Row],[Sell Out]]=0,0,IF($H$2&gt;=115%,225,IF($H$2&gt;=100%,150,IF($H$2&gt;=90%,75,0)))),0)</f>
        <v>0</v>
      </c>
      <c r="M47" s="70">
        <f>IF(Promotores[[#This Row],[Sell Out]]=0,0,IFERROR(IF(Promotores[[#This Row],[% App]]&gt;=100%,225,IF(Promotores[[#This Row],[% App]]&gt;=90%,112.5,0)),0))</f>
        <v>0</v>
      </c>
      <c r="N4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47" s="70">
        <f>IF(AND(N47&lt;=1.5%,Promotores[[#This Row],[Sell Out]]&gt;0,Promotores[[#This Row],[% Avi]]&lt;&gt;0),225,0)</f>
        <v>0</v>
      </c>
      <c r="P4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47" s="125" t="str">
        <f>IFERROR(VLOOKUP(Promotores[[#This Row],[Promotor]],Base_APP[[Promotor]:[%]],6,0),"")</f>
        <v/>
      </c>
      <c r="S4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48" spans="1:19" x14ac:dyDescent="0.3">
      <c r="A48" s="1" t="s">
        <v>423</v>
      </c>
      <c r="B4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240934.59999999995</v>
      </c>
      <c r="C48" s="1" t="str">
        <f>IF(Promotores[[#This Row],[Sell Out]]&gt;=300000,"A+",IF(Promotores[[#This Row],[Sell Out]]&gt;=260000,"A",IF(Promotores[[#This Row],[Sell Out]]&gt;=200000,"B","C")))</f>
        <v>B</v>
      </c>
      <c r="D4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8" s="70">
        <f>IFERROR(IF(Promotores[[#This Row],[Sell Out]]=0,0,IF($H$2&gt;=115%,225,IF($H$2&gt;=100%,150,IF($H$2&gt;=90%,75,0)))),0)</f>
        <v>0</v>
      </c>
      <c r="M48" s="70">
        <f>IF(Promotores[[#This Row],[Sell Out]]=0,0,IFERROR(IF(Promotores[[#This Row],[% App]]&gt;=100%,225,IF(Promotores[[#This Row],[% App]]&gt;=90%,112.5,0)),0))</f>
        <v>0</v>
      </c>
      <c r="N4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2.8973630658791754E-3</v>
      </c>
      <c r="O48" s="70">
        <f>IF(AND(N48&lt;=1.5%,Promotores[[#This Row],[Sell Out]]&gt;0,Promotores[[#This Row],[% Avi]]&lt;&gt;0),225,0)</f>
        <v>0</v>
      </c>
      <c r="P4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48" s="125">
        <f>IFERROR(VLOOKUP(Promotores[[#This Row],[Promotor]],Base_APP[[Promotor]:[%]],6,0),"")</f>
        <v>0.8125</v>
      </c>
      <c r="S4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49" spans="1:19" x14ac:dyDescent="0.3">
      <c r="A49" s="1" t="s">
        <v>552</v>
      </c>
      <c r="B4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49" s="1" t="str">
        <f>IF(Promotores[[#This Row],[Sell Out]]&gt;=300000,"A+",IF(Promotores[[#This Row],[Sell Out]]&gt;=260000,"A",IF(Promotores[[#This Row],[Sell Out]]&gt;=200000,"B","C")))</f>
        <v>C</v>
      </c>
      <c r="D4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4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4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4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4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4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4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4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49" s="70">
        <f>IFERROR(IF(Promotores[[#This Row],[Sell Out]]=0,0,IF($H$2&gt;=115%,225,IF($H$2&gt;=100%,150,IF($H$2&gt;=90%,75,0)))),0)</f>
        <v>0</v>
      </c>
      <c r="M49" s="70">
        <f>IF(Promotores[[#This Row],[Sell Out]]=0,0,IFERROR(IF(Promotores[[#This Row],[% App]]&gt;=100%,225,IF(Promotores[[#This Row],[% App]]&gt;=90%,112.5,0)),0))</f>
        <v>0</v>
      </c>
      <c r="N4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49" s="70">
        <f>IF(AND(N49&lt;=1.5%,Promotores[[#This Row],[Sell Out]]&gt;0,Promotores[[#This Row],[% Avi]]&lt;&gt;0),225,0)</f>
        <v>0</v>
      </c>
      <c r="P4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4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49" s="125">
        <f>IFERROR(VLOOKUP(Promotores[[#This Row],[Promotor]],Base_APP[[Promotor]:[%]],6,0),"")</f>
        <v>0.75</v>
      </c>
      <c r="S4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0" spans="1:19" x14ac:dyDescent="0.3">
      <c r="A50" s="1" t="s">
        <v>602</v>
      </c>
      <c r="B5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0" s="1" t="str">
        <f>IF(Promotores[[#This Row],[Sell Out]]&gt;=300000,"A+",IF(Promotores[[#This Row],[Sell Out]]&gt;=260000,"A",IF(Promotores[[#This Row],[Sell Out]]&gt;=200000,"B","C")))</f>
        <v>C</v>
      </c>
      <c r="D5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0" s="70">
        <f>IFERROR(IF(Promotores[[#This Row],[Sell Out]]=0,0,IF($H$2&gt;=115%,225,IF($H$2&gt;=100%,150,IF($H$2&gt;=90%,75,0)))),0)</f>
        <v>0</v>
      </c>
      <c r="M50" s="70">
        <f>IF(Promotores[[#This Row],[Sell Out]]=0,0,IFERROR(IF(Promotores[[#This Row],[% App]]&gt;=100%,225,IF(Promotores[[#This Row],[% App]]&gt;=90%,112.5,0)),0))</f>
        <v>0</v>
      </c>
      <c r="N5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0" s="70">
        <f>IF(AND(N50&lt;=1.5%,Promotores[[#This Row],[Sell Out]]&gt;0,Promotores[[#This Row],[% Avi]]&lt;&gt;0),225,0)</f>
        <v>0</v>
      </c>
      <c r="P5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0" s="125" t="str">
        <f>IFERROR(VLOOKUP(Promotores[[#This Row],[Promotor]],Base_APP[[Promotor]:[%]],6,0),"")</f>
        <v/>
      </c>
      <c r="S5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1" spans="1:19" x14ac:dyDescent="0.3">
      <c r="A51" s="1" t="s">
        <v>356</v>
      </c>
      <c r="B5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333027.12999999995</v>
      </c>
      <c r="C51" s="1" t="str">
        <f>IF(Promotores[[#This Row],[Sell Out]]&gt;=300000,"A+",IF(Promotores[[#This Row],[Sell Out]]&gt;=260000,"A",IF(Promotores[[#This Row],[Sell Out]]&gt;=200000,"B","C")))</f>
        <v>A+</v>
      </c>
      <c r="D5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0.9429914832535885</v>
      </c>
      <c r="E51" s="70">
        <f>IFERROR(IF(Promotores[[#This Row],[% Avi]]&lt;90%,0,VLOOKUP(Promotores[[#This Row],[Nível]],'Regras Premiação'!$T$4:$W$7,IF(Promotores[[#This Row],[% Avi]]&lt;100%,2,IF(Promotores[[#This Row],[% Avi]]&lt;115%,3,4)),0)),0)</f>
        <v>100</v>
      </c>
      <c r="F5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0.71206396396396388</v>
      </c>
      <c r="G5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0.51832542372881352</v>
      </c>
      <c r="I5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0.20926599999999998</v>
      </c>
      <c r="K5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1" s="70">
        <f>IFERROR(IF(Promotores[[#This Row],[Sell Out]]=0,0,IF($H$2&gt;=115%,225,IF($H$2&gt;=100%,150,IF($H$2&gt;=90%,75,0)))),0)</f>
        <v>0</v>
      </c>
      <c r="M51" s="70">
        <f>IF(Promotores[[#This Row],[Sell Out]]=0,0,IFERROR(IF(Promotores[[#This Row],[% App]]&gt;=100%,225,IF(Promotores[[#This Row],[% App]]&gt;=90%,112.5,0)),0))</f>
        <v>225</v>
      </c>
      <c r="N5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1.1626239654094813E-2</v>
      </c>
      <c r="O51" s="70">
        <f>IF(AND(N51&lt;=1.5%,Promotores[[#This Row],[Sell Out]]&gt;0,Promotores[[#This Row],[% Avi]]&lt;&gt;0),225,0)</f>
        <v>225</v>
      </c>
      <c r="P5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550</v>
      </c>
      <c r="Q5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51" s="125">
        <f>IFERROR(VLOOKUP(Promotores[[#This Row],[Promotor]],Base_APP[[Promotor]:[%]],6,0),"")</f>
        <v>1.125</v>
      </c>
      <c r="S5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52" spans="1:19" x14ac:dyDescent="0.3">
      <c r="A52" s="1" t="s">
        <v>600</v>
      </c>
      <c r="B5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2" s="1" t="str">
        <f>IF(Promotores[[#This Row],[Sell Out]]&gt;=300000,"A+",IF(Promotores[[#This Row],[Sell Out]]&gt;=260000,"A",IF(Promotores[[#This Row],[Sell Out]]&gt;=200000,"B","C")))</f>
        <v>C</v>
      </c>
      <c r="D5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2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2" s="70">
        <f>IFERROR(IF(Promotores[[#This Row],[Sell Out]]=0,0,IF($H$2&gt;=115%,225,IF($H$2&gt;=100%,150,IF($H$2&gt;=90%,75,0)))),0)</f>
        <v>0</v>
      </c>
      <c r="M52" s="70">
        <f>IF(Promotores[[#This Row],[Sell Out]]=0,0,IFERROR(IF(Promotores[[#This Row],[% App]]&gt;=100%,225,IF(Promotores[[#This Row],[% App]]&gt;=90%,112.5,0)),0))</f>
        <v>0</v>
      </c>
      <c r="N5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2" s="70">
        <f>IF(AND(N52&lt;=1.5%,Promotores[[#This Row],[Sell Out]]&gt;0,Promotores[[#This Row],[% Avi]]&lt;&gt;0),225,0)</f>
        <v>0</v>
      </c>
      <c r="P5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2" s="125">
        <f>IFERROR(VLOOKUP(Promotores[[#This Row],[Promotor]],Base_APP[[Promotor]:[%]],6,0),"")</f>
        <v>1.5</v>
      </c>
      <c r="S5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3" spans="1:19" x14ac:dyDescent="0.3">
      <c r="A53" s="1" t="s">
        <v>294</v>
      </c>
      <c r="B5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3" s="1" t="str">
        <f>IF(Promotores[[#This Row],[Sell Out]]&gt;=300000,"A+",IF(Promotores[[#This Row],[Sell Out]]&gt;=260000,"A",IF(Promotores[[#This Row],[Sell Out]]&gt;=200000,"B","C")))</f>
        <v>C</v>
      </c>
      <c r="D5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3" s="70">
        <f>IFERROR(IF(Promotores[[#This Row],[Sell Out]]=0,0,IF($H$2&gt;=115%,225,IF($H$2&gt;=100%,150,IF($H$2&gt;=90%,75,0)))),0)</f>
        <v>0</v>
      </c>
      <c r="M53" s="70">
        <f>IF(Promotores[[#This Row],[Sell Out]]=0,0,IFERROR(IF(Promotores[[#This Row],[% App]]&gt;=100%,225,IF(Promotores[[#This Row],[% App]]&gt;=90%,112.5,0)),0))</f>
        <v>0</v>
      </c>
      <c r="N5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3" s="70">
        <f>IF(AND(N53&lt;=1.5%,Promotores[[#This Row],[Sell Out]]&gt;0,Promotores[[#This Row],[% Avi]]&lt;&gt;0),225,0)</f>
        <v>0</v>
      </c>
      <c r="P5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3" s="125" t="str">
        <f>IFERROR(VLOOKUP(Promotores[[#This Row],[Promotor]],Base_APP[[Promotor]:[%]],6,0),"")</f>
        <v/>
      </c>
      <c r="S5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4" spans="1:19" x14ac:dyDescent="0.3">
      <c r="A54" s="1" t="s">
        <v>605</v>
      </c>
      <c r="B5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4" s="1" t="str">
        <f>IF(Promotores[[#This Row],[Sell Out]]&gt;=300000,"A+",IF(Promotores[[#This Row],[Sell Out]]&gt;=260000,"A",IF(Promotores[[#This Row],[Sell Out]]&gt;=200000,"B","C")))</f>
        <v>C</v>
      </c>
      <c r="D5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4" s="70">
        <f>IFERROR(IF(Promotores[[#This Row],[Sell Out]]=0,0,IF($H$2&gt;=115%,225,IF($H$2&gt;=100%,150,IF($H$2&gt;=90%,75,0)))),0)</f>
        <v>0</v>
      </c>
      <c r="M54" s="70">
        <f>IF(Promotores[[#This Row],[Sell Out]]=0,0,IFERROR(IF(Promotores[[#This Row],[% App]]&gt;=100%,225,IF(Promotores[[#This Row],[% App]]&gt;=90%,112.5,0)),0))</f>
        <v>0</v>
      </c>
      <c r="N5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4" s="70">
        <f>IF(AND(N54&lt;=1.5%,Promotores[[#This Row],[Sell Out]]&gt;0,Promotores[[#This Row],[% Avi]]&lt;&gt;0),225,0)</f>
        <v>0</v>
      </c>
      <c r="P5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4" s="125" t="str">
        <f>IFERROR(VLOOKUP(Promotores[[#This Row],[Promotor]],Base_APP[[Promotor]:[%]],6,0),"")</f>
        <v/>
      </c>
      <c r="S5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5" spans="1:19" x14ac:dyDescent="0.3">
      <c r="A55" s="1" t="s">
        <v>589</v>
      </c>
      <c r="B55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5" s="1" t="str">
        <f>IF(Promotores[[#This Row],[Sell Out]]&gt;=300000,"A+",IF(Promotores[[#This Row],[Sell Out]]&gt;=260000,"A",IF(Promotores[[#This Row],[Sell Out]]&gt;=200000,"B","C")))</f>
        <v>C</v>
      </c>
      <c r="D5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5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5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5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5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5" s="70">
        <f>IFERROR(IF(Promotores[[#This Row],[Sell Out]]=0,0,IF($H$2&gt;=115%,225,IF($H$2&gt;=100%,150,IF($H$2&gt;=90%,75,0)))),0)</f>
        <v>0</v>
      </c>
      <c r="M55" s="70">
        <f>IF(Promotores[[#This Row],[Sell Out]]=0,0,IFERROR(IF(Promotores[[#This Row],[% App]]&gt;=100%,225,IF(Promotores[[#This Row],[% App]]&gt;=90%,112.5,0)),0))</f>
        <v>0</v>
      </c>
      <c r="N55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5" s="70">
        <f>IF(AND(N55&lt;=1.5%,Promotores[[#This Row],[Sell Out]]&gt;0,Promotores[[#This Row],[% Avi]]&lt;&gt;0),225,0)</f>
        <v>0</v>
      </c>
      <c r="P55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5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5" s="125" t="str">
        <f>IFERROR(VLOOKUP(Promotores[[#This Row],[Promotor]],Base_APP[[Promotor]:[%]],6,0),"")</f>
        <v/>
      </c>
      <c r="S55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6" spans="1:19" x14ac:dyDescent="0.3">
      <c r="A56" s="1" t="s">
        <v>540</v>
      </c>
      <c r="B5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6" s="1" t="str">
        <f>IF(Promotores[[#This Row],[Sell Out]]&gt;=300000,"A+",IF(Promotores[[#This Row],[Sell Out]]&gt;=260000,"A",IF(Promotores[[#This Row],[Sell Out]]&gt;=200000,"B","C")))</f>
        <v>C</v>
      </c>
      <c r="D5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6" s="70">
        <f>IFERROR(IF(Promotores[[#This Row],[Sell Out]]=0,0,IF($H$2&gt;=115%,225,IF($H$2&gt;=100%,150,IF($H$2&gt;=90%,75,0)))),0)</f>
        <v>0</v>
      </c>
      <c r="M56" s="70">
        <f>IF(Promotores[[#This Row],[Sell Out]]=0,0,IFERROR(IF(Promotores[[#This Row],[% App]]&gt;=100%,225,IF(Promotores[[#This Row],[% App]]&gt;=90%,112.5,0)),0))</f>
        <v>0</v>
      </c>
      <c r="N5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6" s="70">
        <f>IF(AND(N56&lt;=1.5%,Promotores[[#This Row],[Sell Out]]&gt;0,Promotores[[#This Row],[% Avi]]&lt;&gt;0),225,0)</f>
        <v>0</v>
      </c>
      <c r="P5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6" s="125" t="str">
        <f>IFERROR(VLOOKUP(Promotores[[#This Row],[Promotor]],Base_APP[[Promotor]:[%]],6,0),"")</f>
        <v/>
      </c>
      <c r="S5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7" spans="1:19" x14ac:dyDescent="0.3">
      <c r="A57" s="1" t="s">
        <v>547</v>
      </c>
      <c r="B5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7" s="1" t="str">
        <f>IF(Promotores[[#This Row],[Sell Out]]&gt;=300000,"A+",IF(Promotores[[#This Row],[Sell Out]]&gt;=260000,"A",IF(Promotores[[#This Row],[Sell Out]]&gt;=200000,"B","C")))</f>
        <v>C</v>
      </c>
      <c r="D5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7" s="70">
        <f>IFERROR(IF(Promotores[[#This Row],[Sell Out]]=0,0,IF($H$2&gt;=115%,225,IF($H$2&gt;=100%,150,IF($H$2&gt;=90%,75,0)))),0)</f>
        <v>0</v>
      </c>
      <c r="M57" s="70">
        <f>IF(Promotores[[#This Row],[Sell Out]]=0,0,IFERROR(IF(Promotores[[#This Row],[% App]]&gt;=100%,225,IF(Promotores[[#This Row],[% App]]&gt;=90%,112.5,0)),0))</f>
        <v>0</v>
      </c>
      <c r="N5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7" s="70">
        <f>IF(AND(N57&lt;=1.5%,Promotores[[#This Row],[Sell Out]]&gt;0,Promotores[[#This Row],[% Avi]]&lt;&gt;0),225,0)</f>
        <v>0</v>
      </c>
      <c r="P5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7" s="125" t="str">
        <f>IFERROR(VLOOKUP(Promotores[[#This Row],[Promotor]],Base_APP[[Promotor]:[%]],6,0),"")</f>
        <v/>
      </c>
      <c r="S5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8" spans="1:19" x14ac:dyDescent="0.3">
      <c r="A58" s="1" t="s">
        <v>66</v>
      </c>
      <c r="B5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8" s="1" t="str">
        <f>IF(Promotores[[#This Row],[Sell Out]]&gt;=300000,"A+",IF(Promotores[[#This Row],[Sell Out]]&gt;=260000,"A",IF(Promotores[[#This Row],[Sell Out]]&gt;=200000,"B","C")))</f>
        <v>C</v>
      </c>
      <c r="D5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8" s="70">
        <f>IFERROR(IF(Promotores[[#This Row],[Sell Out]]=0,0,IF($H$2&gt;=115%,225,IF($H$2&gt;=100%,150,IF($H$2&gt;=90%,75,0)))),0)</f>
        <v>0</v>
      </c>
      <c r="M58" s="70">
        <f>IF(Promotores[[#This Row],[Sell Out]]=0,0,IFERROR(IF(Promotores[[#This Row],[% App]]&gt;=100%,225,IF(Promotores[[#This Row],[% App]]&gt;=90%,112.5,0)),0))</f>
        <v>0</v>
      </c>
      <c r="N5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8" s="70">
        <f>IF(AND(N58&lt;=1.5%,Promotores[[#This Row],[Sell Out]]&gt;0,Promotores[[#This Row],[% Avi]]&lt;&gt;0),225,0)</f>
        <v>0</v>
      </c>
      <c r="P5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8" s="125" t="str">
        <f>IFERROR(VLOOKUP(Promotores[[#This Row],[Promotor]],Base_APP[[Promotor]:[%]],6,0),"")</f>
        <v/>
      </c>
      <c r="S5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59" spans="1:19" x14ac:dyDescent="0.3">
      <c r="A59" s="1" t="s">
        <v>545</v>
      </c>
      <c r="B5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59" s="1" t="str">
        <f>IF(Promotores[[#This Row],[Sell Out]]&gt;=300000,"A+",IF(Promotores[[#This Row],[Sell Out]]&gt;=260000,"A",IF(Promotores[[#This Row],[Sell Out]]&gt;=200000,"B","C")))</f>
        <v>C</v>
      </c>
      <c r="D5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5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5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5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5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5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5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5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59" s="70">
        <f>IFERROR(IF(Promotores[[#This Row],[Sell Out]]=0,0,IF($H$2&gt;=115%,225,IF($H$2&gt;=100%,150,IF($H$2&gt;=90%,75,0)))),0)</f>
        <v>0</v>
      </c>
      <c r="M59" s="70">
        <f>IF(Promotores[[#This Row],[Sell Out]]=0,0,IFERROR(IF(Promotores[[#This Row],[% App]]&gt;=100%,225,IF(Promotores[[#This Row],[% App]]&gt;=90%,112.5,0)),0))</f>
        <v>0</v>
      </c>
      <c r="N5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59" s="70">
        <f>IF(AND(N59&lt;=1.5%,Promotores[[#This Row],[Sell Out]]&gt;0,Promotores[[#This Row],[% Avi]]&lt;&gt;0),225,0)</f>
        <v>0</v>
      </c>
      <c r="P5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5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59" s="125" t="str">
        <f>IFERROR(VLOOKUP(Promotores[[#This Row],[Promotor]],Base_APP[[Promotor]:[%]],6,0),"")</f>
        <v/>
      </c>
      <c r="S5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0" spans="1:19" x14ac:dyDescent="0.3">
      <c r="A60" s="1" t="s">
        <v>299</v>
      </c>
      <c r="B6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0" s="1" t="str">
        <f>IF(Promotores[[#This Row],[Sell Out]]&gt;=300000,"A+",IF(Promotores[[#This Row],[Sell Out]]&gt;=260000,"A",IF(Promotores[[#This Row],[Sell Out]]&gt;=200000,"B","C")))</f>
        <v>C</v>
      </c>
      <c r="D6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0" s="70">
        <f>IFERROR(IF(Promotores[[#This Row],[Sell Out]]=0,0,IF($H$2&gt;=115%,225,IF($H$2&gt;=100%,150,IF($H$2&gt;=90%,75,0)))),0)</f>
        <v>0</v>
      </c>
      <c r="M60" s="70">
        <f>IF(Promotores[[#This Row],[Sell Out]]=0,0,IFERROR(IF(Promotores[[#This Row],[% App]]&gt;=100%,225,IF(Promotores[[#This Row],[% App]]&gt;=90%,112.5,0)),0))</f>
        <v>0</v>
      </c>
      <c r="N6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0" s="70">
        <f>IF(AND(N60&lt;=1.5%,Promotores[[#This Row],[Sell Out]]&gt;0,Promotores[[#This Row],[% Avi]]&lt;&gt;0),225,0)</f>
        <v>0</v>
      </c>
      <c r="P6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0" s="125" t="str">
        <f>IFERROR(VLOOKUP(Promotores[[#This Row],[Promotor]],Base_APP[[Promotor]:[%]],6,0),"")</f>
        <v/>
      </c>
      <c r="S6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1" spans="1:19" x14ac:dyDescent="0.3">
      <c r="A61" s="1" t="s">
        <v>581</v>
      </c>
      <c r="B6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1" s="1" t="str">
        <f>IF(Promotores[[#This Row],[Sell Out]]&gt;=300000,"A+",IF(Promotores[[#This Row],[Sell Out]]&gt;=260000,"A",IF(Promotores[[#This Row],[Sell Out]]&gt;=200000,"B","C")))</f>
        <v>C</v>
      </c>
      <c r="D6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1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1" s="70">
        <f>IFERROR(IF(Promotores[[#This Row],[Sell Out]]=0,0,IF($H$2&gt;=115%,225,IF($H$2&gt;=100%,150,IF($H$2&gt;=90%,75,0)))),0)</f>
        <v>0</v>
      </c>
      <c r="M61" s="70">
        <f>IF(Promotores[[#This Row],[Sell Out]]=0,0,IFERROR(IF(Promotores[[#This Row],[% App]]&gt;=100%,225,IF(Promotores[[#This Row],[% App]]&gt;=90%,112.5,0)),0))</f>
        <v>0</v>
      </c>
      <c r="N6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1" s="70">
        <f>IF(AND(N61&lt;=1.5%,Promotores[[#This Row],[Sell Out]]&gt;0,Promotores[[#This Row],[% Avi]]&lt;&gt;0),225,0)</f>
        <v>0</v>
      </c>
      <c r="P6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1" s="125" t="str">
        <f>IFERROR(VLOOKUP(Promotores[[#This Row],[Promotor]],Base_APP[[Promotor]:[%]],6,0),"")</f>
        <v/>
      </c>
      <c r="S6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2" spans="1:19" x14ac:dyDescent="0.3">
      <c r="A62" s="1" t="s">
        <v>598</v>
      </c>
      <c r="B6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2" s="1" t="str">
        <f>IF(Promotores[[#This Row],[Sell Out]]&gt;=300000,"A+",IF(Promotores[[#This Row],[Sell Out]]&gt;=260000,"A",IF(Promotores[[#This Row],[Sell Out]]&gt;=200000,"B","C")))</f>
        <v>C</v>
      </c>
      <c r="D6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2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2" s="70">
        <f>IFERROR(IF(Promotores[[#This Row],[Sell Out]]=0,0,IF($H$2&gt;=115%,225,IF($H$2&gt;=100%,150,IF($H$2&gt;=90%,75,0)))),0)</f>
        <v>0</v>
      </c>
      <c r="M62" s="70">
        <f>IF(Promotores[[#This Row],[Sell Out]]=0,0,IFERROR(IF(Promotores[[#This Row],[% App]]&gt;=100%,225,IF(Promotores[[#This Row],[% App]]&gt;=90%,112.5,0)),0))</f>
        <v>0</v>
      </c>
      <c r="N6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2" s="70">
        <f>IF(AND(N62&lt;=1.5%,Promotores[[#This Row],[Sell Out]]&gt;0,Promotores[[#This Row],[% Avi]]&lt;&gt;0),225,0)</f>
        <v>0</v>
      </c>
      <c r="P6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2" s="125" t="str">
        <f>IFERROR(VLOOKUP(Promotores[[#This Row],[Promotor]],Base_APP[[Promotor]:[%]],6,0),"")</f>
        <v/>
      </c>
      <c r="S6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3" spans="1:19" x14ac:dyDescent="0.3">
      <c r="A63" s="1" t="s">
        <v>591</v>
      </c>
      <c r="B6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3" s="1" t="str">
        <f>IF(Promotores[[#This Row],[Sell Out]]&gt;=300000,"A+",IF(Promotores[[#This Row],[Sell Out]]&gt;=260000,"A",IF(Promotores[[#This Row],[Sell Out]]&gt;=200000,"B","C")))</f>
        <v>C</v>
      </c>
      <c r="D6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3" s="70">
        <f>IFERROR(IF(Promotores[[#This Row],[Sell Out]]=0,0,IF($H$2&gt;=115%,225,IF($H$2&gt;=100%,150,IF($H$2&gt;=90%,75,0)))),0)</f>
        <v>0</v>
      </c>
      <c r="M63" s="70">
        <f>IF(Promotores[[#This Row],[Sell Out]]=0,0,IFERROR(IF(Promotores[[#This Row],[% App]]&gt;=100%,225,IF(Promotores[[#This Row],[% App]]&gt;=90%,112.5,0)),0))</f>
        <v>0</v>
      </c>
      <c r="N6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3" s="70">
        <f>IF(AND(N63&lt;=1.5%,Promotores[[#This Row],[Sell Out]]&gt;0,Promotores[[#This Row],[% Avi]]&lt;&gt;0),225,0)</f>
        <v>0</v>
      </c>
      <c r="P6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3" s="125" t="str">
        <f>IFERROR(VLOOKUP(Promotores[[#This Row],[Promotor]],Base_APP[[Promotor]:[%]],6,0),"")</f>
        <v/>
      </c>
      <c r="S6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4" spans="1:19" x14ac:dyDescent="0.3">
      <c r="A64" s="1" t="s">
        <v>542</v>
      </c>
      <c r="B6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4" s="1" t="str">
        <f>IF(Promotores[[#This Row],[Sell Out]]&gt;=300000,"A+",IF(Promotores[[#This Row],[Sell Out]]&gt;=260000,"A",IF(Promotores[[#This Row],[Sell Out]]&gt;=200000,"B","C")))</f>
        <v>C</v>
      </c>
      <c r="D6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4" s="70">
        <f>IFERROR(IF(Promotores[[#This Row],[Sell Out]]=0,0,IF($H$2&gt;=115%,225,IF($H$2&gt;=100%,150,IF($H$2&gt;=90%,75,0)))),0)</f>
        <v>0</v>
      </c>
      <c r="M64" s="70">
        <f>IF(Promotores[[#This Row],[Sell Out]]=0,0,IFERROR(IF(Promotores[[#This Row],[% App]]&gt;=100%,225,IF(Promotores[[#This Row],[% App]]&gt;=90%,112.5,0)),0))</f>
        <v>0</v>
      </c>
      <c r="N6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4" s="70">
        <f>IF(AND(N64&lt;=1.5%,Promotores[[#This Row],[Sell Out]]&gt;0,Promotores[[#This Row],[% Avi]]&lt;&gt;0),225,0)</f>
        <v>0</v>
      </c>
      <c r="P6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4" s="125" t="str">
        <f>IFERROR(VLOOKUP(Promotores[[#This Row],[Promotor]],Base_APP[[Promotor]:[%]],6,0),"")</f>
        <v/>
      </c>
      <c r="S6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5" spans="1:19" x14ac:dyDescent="0.3">
      <c r="A65" s="1" t="s">
        <v>579</v>
      </c>
      <c r="B65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5" s="1" t="str">
        <f>IF(Promotores[[#This Row],[Sell Out]]&gt;=300000,"A+",IF(Promotores[[#This Row],[Sell Out]]&gt;=260000,"A",IF(Promotores[[#This Row],[Sell Out]]&gt;=200000,"B","C")))</f>
        <v>C</v>
      </c>
      <c r="D6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5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5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5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5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5" s="70">
        <f>IFERROR(IF(Promotores[[#This Row],[Sell Out]]=0,0,IF($H$2&gt;=115%,225,IF($H$2&gt;=100%,150,IF($H$2&gt;=90%,75,0)))),0)</f>
        <v>0</v>
      </c>
      <c r="M65" s="70">
        <f>IF(Promotores[[#This Row],[Sell Out]]=0,0,IFERROR(IF(Promotores[[#This Row],[% App]]&gt;=100%,225,IF(Promotores[[#This Row],[% App]]&gt;=90%,112.5,0)),0))</f>
        <v>0</v>
      </c>
      <c r="N65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5" s="70">
        <f>IF(AND(N65&lt;=1.5%,Promotores[[#This Row],[Sell Out]]&gt;0,Promotores[[#This Row],[% Avi]]&lt;&gt;0),225,0)</f>
        <v>0</v>
      </c>
      <c r="P65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5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5" s="125" t="str">
        <f>IFERROR(VLOOKUP(Promotores[[#This Row],[Promotor]],Base_APP[[Promotor]:[%]],6,0),"")</f>
        <v/>
      </c>
      <c r="S65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6" spans="1:19" x14ac:dyDescent="0.3">
      <c r="A66" s="1" t="s">
        <v>587</v>
      </c>
      <c r="B6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6" s="1" t="str">
        <f>IF(Promotores[[#This Row],[Sell Out]]&gt;=300000,"A+",IF(Promotores[[#This Row],[Sell Out]]&gt;=260000,"A",IF(Promotores[[#This Row],[Sell Out]]&gt;=200000,"B","C")))</f>
        <v>C</v>
      </c>
      <c r="D6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6" s="70">
        <f>IFERROR(IF(Promotores[[#This Row],[Sell Out]]=0,0,IF($H$2&gt;=115%,225,IF($H$2&gt;=100%,150,IF($H$2&gt;=90%,75,0)))),0)</f>
        <v>0</v>
      </c>
      <c r="M66" s="70">
        <f>IF(Promotores[[#This Row],[Sell Out]]=0,0,IFERROR(IF(Promotores[[#This Row],[% App]]&gt;=100%,225,IF(Promotores[[#This Row],[% App]]&gt;=90%,112.5,0)),0))</f>
        <v>0</v>
      </c>
      <c r="N6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6" s="70">
        <f>IF(AND(N66&lt;=1.5%,Promotores[[#This Row],[Sell Out]]&gt;0,Promotores[[#This Row],[% Avi]]&lt;&gt;0),225,0)</f>
        <v>0</v>
      </c>
      <c r="P6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6" s="125" t="str">
        <f>IFERROR(VLOOKUP(Promotores[[#This Row],[Promotor]],Base_APP[[Promotor]:[%]],6,0),"")</f>
        <v/>
      </c>
      <c r="S6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7" spans="1:19" x14ac:dyDescent="0.3">
      <c r="A67" s="1" t="s">
        <v>76</v>
      </c>
      <c r="B6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7" s="1" t="str">
        <f>IF(Promotores[[#This Row],[Sell Out]]&gt;=300000,"A+",IF(Promotores[[#This Row],[Sell Out]]&gt;=260000,"A",IF(Promotores[[#This Row],[Sell Out]]&gt;=200000,"B","C")))</f>
        <v>C</v>
      </c>
      <c r="D6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7" s="70">
        <f>IFERROR(IF(Promotores[[#This Row],[Sell Out]]=0,0,IF($H$2&gt;=115%,225,IF($H$2&gt;=100%,150,IF($H$2&gt;=90%,75,0)))),0)</f>
        <v>0</v>
      </c>
      <c r="M67" s="70">
        <f>IF(Promotores[[#This Row],[Sell Out]]=0,0,IFERROR(IF(Promotores[[#This Row],[% App]]&gt;=100%,225,IF(Promotores[[#This Row],[% App]]&gt;=90%,112.5,0)),0))</f>
        <v>0</v>
      </c>
      <c r="N6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7" s="70">
        <f>IF(AND(N67&lt;=1.5%,Promotores[[#This Row],[Sell Out]]&gt;0,Promotores[[#This Row],[% Avi]]&lt;&gt;0),225,0)</f>
        <v>0</v>
      </c>
      <c r="P6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7" s="125" t="str">
        <f>IFERROR(VLOOKUP(Promotores[[#This Row],[Promotor]],Base_APP[[Promotor]:[%]],6,0),"")</f>
        <v/>
      </c>
      <c r="S6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8" spans="1:19" x14ac:dyDescent="0.3">
      <c r="A68" s="1" t="s">
        <v>592</v>
      </c>
      <c r="B6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8" s="1" t="str">
        <f>IF(Promotores[[#This Row],[Sell Out]]&gt;=300000,"A+",IF(Promotores[[#This Row],[Sell Out]]&gt;=260000,"A",IF(Promotores[[#This Row],[Sell Out]]&gt;=200000,"B","C")))</f>
        <v>C</v>
      </c>
      <c r="D6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8" s="70">
        <f>IFERROR(IF(Promotores[[#This Row],[Sell Out]]=0,0,IF($H$2&gt;=115%,225,IF($H$2&gt;=100%,150,IF($H$2&gt;=90%,75,0)))),0)</f>
        <v>0</v>
      </c>
      <c r="M68" s="70">
        <f>IF(Promotores[[#This Row],[Sell Out]]=0,0,IFERROR(IF(Promotores[[#This Row],[% App]]&gt;=100%,225,IF(Promotores[[#This Row],[% App]]&gt;=90%,112.5,0)),0))</f>
        <v>0</v>
      </c>
      <c r="N6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8" s="70">
        <f>IF(AND(N68&lt;=1.5%,Promotores[[#This Row],[Sell Out]]&gt;0,Promotores[[#This Row],[% Avi]]&lt;&gt;0),225,0)</f>
        <v>0</v>
      </c>
      <c r="P6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8" s="125" t="str">
        <f>IFERROR(VLOOKUP(Promotores[[#This Row],[Promotor]],Base_APP[[Promotor]:[%]],6,0),"")</f>
        <v/>
      </c>
      <c r="S6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69" spans="1:19" x14ac:dyDescent="0.3">
      <c r="A69" s="1" t="s">
        <v>588</v>
      </c>
      <c r="B6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69" s="1" t="str">
        <f>IF(Promotores[[#This Row],[Sell Out]]&gt;=300000,"A+",IF(Promotores[[#This Row],[Sell Out]]&gt;=260000,"A",IF(Promotores[[#This Row],[Sell Out]]&gt;=200000,"B","C")))</f>
        <v>C</v>
      </c>
      <c r="D6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69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6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6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6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6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6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6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69" s="70">
        <f>IFERROR(IF(Promotores[[#This Row],[Sell Out]]=0,0,IF($H$2&gt;=115%,225,IF($H$2&gt;=100%,150,IF($H$2&gt;=90%,75,0)))),0)</f>
        <v>0</v>
      </c>
      <c r="M69" s="70">
        <f>IF(Promotores[[#This Row],[Sell Out]]=0,0,IFERROR(IF(Promotores[[#This Row],[% App]]&gt;=100%,225,IF(Promotores[[#This Row],[% App]]&gt;=90%,112.5,0)),0))</f>
        <v>0</v>
      </c>
      <c r="N6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69" s="70">
        <f>IF(AND(N69&lt;=1.5%,Promotores[[#This Row],[Sell Out]]&gt;0,Promotores[[#This Row],[% Avi]]&lt;&gt;0),225,0)</f>
        <v>0</v>
      </c>
      <c r="P6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6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69" s="125" t="str">
        <f>IFERROR(VLOOKUP(Promotores[[#This Row],[Promotor]],Base_APP[[Promotor]:[%]],6,0),"")</f>
        <v/>
      </c>
      <c r="S6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0" spans="1:19" x14ac:dyDescent="0.3">
      <c r="A70" s="1" t="s">
        <v>594</v>
      </c>
      <c r="B7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0" s="1" t="str">
        <f>IF(Promotores[[#This Row],[Sell Out]]&gt;=300000,"A+",IF(Promotores[[#This Row],[Sell Out]]&gt;=260000,"A",IF(Promotores[[#This Row],[Sell Out]]&gt;=200000,"B","C")))</f>
        <v>C</v>
      </c>
      <c r="D7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0" s="70">
        <f>IFERROR(IF(Promotores[[#This Row],[Sell Out]]=0,0,IF($H$2&gt;=115%,225,IF($H$2&gt;=100%,150,IF($H$2&gt;=90%,75,0)))),0)</f>
        <v>0</v>
      </c>
      <c r="M70" s="70">
        <f>IF(Promotores[[#This Row],[Sell Out]]=0,0,IFERROR(IF(Promotores[[#This Row],[% App]]&gt;=100%,225,IF(Promotores[[#This Row],[% App]]&gt;=90%,112.5,0)),0))</f>
        <v>0</v>
      </c>
      <c r="N7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0" s="70">
        <f>IF(AND(N70&lt;=1.5%,Promotores[[#This Row],[Sell Out]]&gt;0,Promotores[[#This Row],[% Avi]]&lt;&gt;0),225,0)</f>
        <v>0</v>
      </c>
      <c r="P7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0" s="125" t="str">
        <f>IFERROR(VLOOKUP(Promotores[[#This Row],[Promotor]],Base_APP[[Promotor]:[%]],6,0),"")</f>
        <v/>
      </c>
      <c r="S7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1" spans="1:19" x14ac:dyDescent="0.3">
      <c r="A71" s="1" t="s">
        <v>79</v>
      </c>
      <c r="B7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1" s="1" t="str">
        <f>IF(Promotores[[#This Row],[Sell Out]]&gt;=300000,"A+",IF(Promotores[[#This Row],[Sell Out]]&gt;=260000,"A",IF(Promotores[[#This Row],[Sell Out]]&gt;=200000,"B","C")))</f>
        <v>C</v>
      </c>
      <c r="D7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1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1" s="70">
        <f>IFERROR(IF(Promotores[[#This Row],[Sell Out]]=0,0,IF($H$2&gt;=115%,225,IF($H$2&gt;=100%,150,IF($H$2&gt;=90%,75,0)))),0)</f>
        <v>0</v>
      </c>
      <c r="M71" s="70">
        <f>IF(Promotores[[#This Row],[Sell Out]]=0,0,IFERROR(IF(Promotores[[#This Row],[% App]]&gt;=100%,225,IF(Promotores[[#This Row],[% App]]&gt;=90%,112.5,0)),0))</f>
        <v>0</v>
      </c>
      <c r="N7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1" s="70">
        <f>IF(AND(N71&lt;=1.5%,Promotores[[#This Row],[Sell Out]]&gt;0,Promotores[[#This Row],[% Avi]]&lt;&gt;0),225,0)</f>
        <v>0</v>
      </c>
      <c r="P7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1" s="125" t="str">
        <f>IFERROR(VLOOKUP(Promotores[[#This Row],[Promotor]],Base_APP[[Promotor]:[%]],6,0),"")</f>
        <v/>
      </c>
      <c r="S7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2" spans="1:19" x14ac:dyDescent="0.3">
      <c r="A72" s="1" t="s">
        <v>539</v>
      </c>
      <c r="B7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2" s="1" t="str">
        <f>IF(Promotores[[#This Row],[Sell Out]]&gt;=300000,"A+",IF(Promotores[[#This Row],[Sell Out]]&gt;=260000,"A",IF(Promotores[[#This Row],[Sell Out]]&gt;=200000,"B","C")))</f>
        <v>C</v>
      </c>
      <c r="D7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2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2" s="70">
        <f>IFERROR(IF(Promotores[[#This Row],[Sell Out]]=0,0,IF($H$2&gt;=115%,225,IF($H$2&gt;=100%,150,IF($H$2&gt;=90%,75,0)))),0)</f>
        <v>0</v>
      </c>
      <c r="M72" s="70">
        <f>IF(Promotores[[#This Row],[Sell Out]]=0,0,IFERROR(IF(Promotores[[#This Row],[% App]]&gt;=100%,225,IF(Promotores[[#This Row],[% App]]&gt;=90%,112.5,0)),0))</f>
        <v>0</v>
      </c>
      <c r="N7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2" s="70">
        <f>IF(AND(N72&lt;=1.5%,Promotores[[#This Row],[Sell Out]]&gt;0,Promotores[[#This Row],[% Avi]]&lt;&gt;0),225,0)</f>
        <v>0</v>
      </c>
      <c r="P7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2" s="125" t="str">
        <f>IFERROR(VLOOKUP(Promotores[[#This Row],[Promotor]],Base_APP[[Promotor]:[%]],6,0),"")</f>
        <v/>
      </c>
      <c r="S7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3" spans="1:19" x14ac:dyDescent="0.3">
      <c r="A73" s="1" t="s">
        <v>599</v>
      </c>
      <c r="B7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3" s="1" t="str">
        <f>IF(Promotores[[#This Row],[Sell Out]]&gt;=300000,"A+",IF(Promotores[[#This Row],[Sell Out]]&gt;=260000,"A",IF(Promotores[[#This Row],[Sell Out]]&gt;=200000,"B","C")))</f>
        <v>C</v>
      </c>
      <c r="D7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3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3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3" s="70">
        <f>IFERROR(IF(Promotores[[#This Row],[Sell Out]]=0,0,IF($H$2&gt;=115%,225,IF($H$2&gt;=100%,150,IF($H$2&gt;=90%,75,0)))),0)</f>
        <v>0</v>
      </c>
      <c r="M73" s="70">
        <f>IF(Promotores[[#This Row],[Sell Out]]=0,0,IFERROR(IF(Promotores[[#This Row],[% App]]&gt;=100%,225,IF(Promotores[[#This Row],[% App]]&gt;=90%,112.5,0)),0))</f>
        <v>0</v>
      </c>
      <c r="N7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3" s="70">
        <f>IF(AND(N73&lt;=1.5%,Promotores[[#This Row],[Sell Out]]&gt;0,Promotores[[#This Row],[% Avi]]&lt;&gt;0),225,0)</f>
        <v>0</v>
      </c>
      <c r="P7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3" s="125" t="str">
        <f>IFERROR(VLOOKUP(Promotores[[#This Row],[Promotor]],Base_APP[[Promotor]:[%]],6,0),"")</f>
        <v/>
      </c>
      <c r="S7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4" spans="1:19" x14ac:dyDescent="0.3">
      <c r="A74" s="1" t="s">
        <v>424</v>
      </c>
      <c r="B7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4" s="1" t="str">
        <f>IF(Promotores[[#This Row],[Sell Out]]&gt;=300000,"A+",IF(Promotores[[#This Row],[Sell Out]]&gt;=260000,"A",IF(Promotores[[#This Row],[Sell Out]]&gt;=200000,"B","C")))</f>
        <v>C</v>
      </c>
      <c r="D7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4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4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4" s="70">
        <f>IFERROR(IF(Promotores[[#This Row],[Sell Out]]=0,0,IF($H$2&gt;=115%,225,IF($H$2&gt;=100%,150,IF($H$2&gt;=90%,75,0)))),0)</f>
        <v>0</v>
      </c>
      <c r="M74" s="70">
        <f>IF(Promotores[[#This Row],[Sell Out]]=0,0,IFERROR(IF(Promotores[[#This Row],[% App]]&gt;=100%,225,IF(Promotores[[#This Row],[% App]]&gt;=90%,112.5,0)),0))</f>
        <v>0</v>
      </c>
      <c r="N7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4" s="70">
        <f>IF(AND(N74&lt;=1.5%,Promotores[[#This Row],[Sell Out]]&gt;0,Promotores[[#This Row],[% Avi]]&lt;&gt;0),225,0)</f>
        <v>0</v>
      </c>
      <c r="P7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4" s="125" t="str">
        <f>IFERROR(VLOOKUP(Promotores[[#This Row],[Promotor]],Base_APP[[Promotor]:[%]],6,0),"")</f>
        <v/>
      </c>
      <c r="S7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5" spans="1:19" x14ac:dyDescent="0.3">
      <c r="A75" s="200" t="s">
        <v>584</v>
      </c>
      <c r="B75" s="32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5" s="1" t="str">
        <f>IF(Promotores[[#This Row],[Sell Out]]&gt;=300000,"A+",IF(Promotores[[#This Row],[Sell Out]]&gt;=260000,"A",IF(Promotores[[#This Row],[Sell Out]]&gt;=200000,"B","C")))</f>
        <v>C</v>
      </c>
      <c r="D75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5" s="32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5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5" s="32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5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5" s="32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5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5" s="32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5" s="70">
        <f>IFERROR(IF(Promotores[[#This Row],[Sell Out]]=0,0,IF($H$2&gt;=115%,225,IF($H$2&gt;=100%,150,IF($H$2&gt;=90%,75,0)))),0)</f>
        <v>0</v>
      </c>
      <c r="M75" s="32">
        <f>IF(Promotores[[#This Row],[Sell Out]]=0,0,IFERROR(IF(Promotores[[#This Row],[% App]]&gt;=100%,225,IF(Promotores[[#This Row],[% App]]&gt;=90%,112.5,0)),0))</f>
        <v>0</v>
      </c>
      <c r="N75" s="198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5" s="32">
        <f>IF(AND(N75&lt;=1.5%,Promotores[[#This Row],[Sell Out]]&gt;0,Promotores[[#This Row],[% Avi]]&lt;&gt;0),225,0)</f>
        <v>0</v>
      </c>
      <c r="P75" s="32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5" s="32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5" s="125" t="str">
        <f>IFERROR(VLOOKUP(Promotores[[#This Row],[Promotor]],Base_APP[[Promotor]:[%]],6,0),"")</f>
        <v/>
      </c>
      <c r="S75" s="32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6" spans="1:19" x14ac:dyDescent="0.3">
      <c r="A76" s="1" t="s">
        <v>550</v>
      </c>
      <c r="B76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6" s="1" t="str">
        <f>IF(Promotores[[#This Row],[Sell Out]]&gt;=300000,"A+",IF(Promotores[[#This Row],[Sell Out]]&gt;=260000,"A",IF(Promotores[[#This Row],[Sell Out]]&gt;=200000,"B","C")))</f>
        <v>C</v>
      </c>
      <c r="D76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6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6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6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6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6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6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6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6" s="70">
        <f>IFERROR(IF(Promotores[[#This Row],[Sell Out]]=0,0,IF($H$2&gt;=115%,225,IF($H$2&gt;=100%,150,IF($H$2&gt;=90%,75,0)))),0)</f>
        <v>0</v>
      </c>
      <c r="M76" s="70">
        <f>IF(Promotores[[#This Row],[Sell Out]]=0,0,IFERROR(IF(Promotores[[#This Row],[% App]]&gt;=100%,225,IF(Promotores[[#This Row],[% App]]&gt;=90%,112.5,0)),0))</f>
        <v>0</v>
      </c>
      <c r="N76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6" s="70">
        <f>IF(AND(N76&lt;=1.5%,Promotores[[#This Row],[Sell Out]]&gt;0,Promotores[[#This Row],[% Avi]]&lt;&gt;0),225,0)</f>
        <v>0</v>
      </c>
      <c r="P76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6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6" s="125" t="str">
        <f>IFERROR(VLOOKUP(Promotores[[#This Row],[Promotor]],Base_APP[[Promotor]:[%]],6,0),"")</f>
        <v/>
      </c>
      <c r="S76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7" spans="1:19" x14ac:dyDescent="0.3">
      <c r="A77" s="1" t="s">
        <v>571</v>
      </c>
      <c r="B77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7" s="1" t="str">
        <f>IF(Promotores[[#This Row],[Sell Out]]&gt;=300000,"A+",IF(Promotores[[#This Row],[Sell Out]]&gt;=260000,"A",IF(Promotores[[#This Row],[Sell Out]]&gt;=200000,"B","C")))</f>
        <v>C</v>
      </c>
      <c r="D77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7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7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7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7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7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7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7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7" s="70">
        <f>IFERROR(IF(Promotores[[#This Row],[Sell Out]]=0,0,IF($H$2&gt;=115%,225,IF($H$2&gt;=100%,150,IF($H$2&gt;=90%,75,0)))),0)</f>
        <v>0</v>
      </c>
      <c r="M77" s="70">
        <f>IF(Promotores[[#This Row],[Sell Out]]=0,0,IFERROR(IF(Promotores[[#This Row],[% App]]&gt;=100%,225,IF(Promotores[[#This Row],[% App]]&gt;=90%,112.5,0)),0))</f>
        <v>0</v>
      </c>
      <c r="N77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7" s="70">
        <f>IF(AND(N77&lt;=1.5%,Promotores[[#This Row],[Sell Out]]&gt;0,Promotores[[#This Row],[% Avi]]&lt;&gt;0),225,0)</f>
        <v>0</v>
      </c>
      <c r="P77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7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7" s="125" t="str">
        <f>IFERROR(VLOOKUP(Promotores[[#This Row],[Promotor]],Base_APP[[Promotor]:[%]],6,0),"")</f>
        <v/>
      </c>
      <c r="S77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8" spans="1:19" x14ac:dyDescent="0.3">
      <c r="A78" s="1" t="s">
        <v>601</v>
      </c>
      <c r="B78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78" s="1" t="str">
        <f>IF(Promotores[[#This Row],[Sell Out]]&gt;=300000,"A+",IF(Promotores[[#This Row],[Sell Out]]&gt;=260000,"A",IF(Promotores[[#This Row],[Sell Out]]&gt;=200000,"B","C")))</f>
        <v>C</v>
      </c>
      <c r="D78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78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78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78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8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78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78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8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8" s="70">
        <f>IFERROR(IF(Promotores[[#This Row],[Sell Out]]=0,0,IF($H$2&gt;=115%,225,IF($H$2&gt;=100%,150,IF($H$2&gt;=90%,75,0)))),0)</f>
        <v>0</v>
      </c>
      <c r="M78" s="70">
        <f>IF(Promotores[[#This Row],[Sell Out]]=0,0,IFERROR(IF(Promotores[[#This Row],[% App]]&gt;=100%,225,IF(Promotores[[#This Row],[% App]]&gt;=90%,112.5,0)),0))</f>
        <v>0</v>
      </c>
      <c r="N78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78" s="70">
        <f>IF(AND(N78&lt;=1.5%,Promotores[[#This Row],[Sell Out]]&gt;0,Promotores[[#This Row],[% Avi]]&lt;&gt;0),225,0)</f>
        <v>0</v>
      </c>
      <c r="P78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78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78" s="125" t="str">
        <f>IFERROR(VLOOKUP(Promotores[[#This Row],[Promotor]],Base_APP[[Promotor]:[%]],6,0),"")</f>
        <v/>
      </c>
      <c r="S78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79" spans="1:19" x14ac:dyDescent="0.3">
      <c r="A79" s="1" t="s">
        <v>597</v>
      </c>
      <c r="B79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74569.41</v>
      </c>
      <c r="C79" s="1" t="str">
        <f>IF(Promotores[[#This Row],[Sell Out]]&gt;=300000,"A+",IF(Promotores[[#This Row],[Sell Out]]&gt;=260000,"A",IF(Promotores[[#This Row],[Sell Out]]&gt;=200000,"B","C")))</f>
        <v>C</v>
      </c>
      <c r="D79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0.94390722689075635</v>
      </c>
      <c r="E79" s="70">
        <f>IFERROR(IF(Promotores[[#This Row],[% Avi]]&lt;90%,0,VLOOKUP(Promotores[[#This Row],[Nível]],'Regras Premiação'!$T$4:$W$7,IF(Promotores[[#This Row],[% Avi]]&lt;100%,2,IF(Promotores[[#This Row],[% Avi]]&lt;115%,3,4)),0)),0)</f>
        <v>50</v>
      </c>
      <c r="F79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0.31819444444444445</v>
      </c>
      <c r="G79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79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0.90848444444444443</v>
      </c>
      <c r="I79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50</v>
      </c>
      <c r="J79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79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79" s="70">
        <f>IFERROR(IF(Promotores[[#This Row],[Sell Out]]=0,0,IF($H$2&gt;=115%,225,IF($H$2&gt;=100%,150,IF($H$2&gt;=90%,75,0)))),0)</f>
        <v>0</v>
      </c>
      <c r="M79" s="70">
        <f>IF(Promotores[[#This Row],[Sell Out]]=0,0,IFERROR(IF(Promotores[[#This Row],[% App]]&gt;=100%,225,IF(Promotores[[#This Row],[% App]]&gt;=90%,112.5,0)),0))</f>
        <v>0</v>
      </c>
      <c r="N79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4.8922875200667779E-2</v>
      </c>
      <c r="O79" s="70">
        <f>IF(AND(N79&lt;=1.5%,Promotores[[#This Row],[Sell Out]]&gt;0,Promotores[[#This Row],[% Avi]]&lt;&gt;0),225,0)</f>
        <v>0</v>
      </c>
      <c r="P79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100</v>
      </c>
      <c r="Q79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Norte</v>
      </c>
      <c r="R79" s="125">
        <f>IFERROR(VLOOKUP(Promotores[[#This Row],[Promotor]],Base_APP[[Promotor]:[%]],6,0),"")</f>
        <v>0.5</v>
      </c>
      <c r="S79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80" spans="1:19" x14ac:dyDescent="0.3">
      <c r="A80" s="1" t="s">
        <v>83</v>
      </c>
      <c r="B80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309630.59999999998</v>
      </c>
      <c r="C80" s="1" t="str">
        <f>IF(Promotores[[#This Row],[Sell Out]]&gt;=300000,"A+",IF(Promotores[[#This Row],[Sell Out]]&gt;=260000,"A",IF(Promotores[[#This Row],[Sell Out]]&gt;=200000,"B","C")))</f>
        <v>A+</v>
      </c>
      <c r="D80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0.79095645283018867</v>
      </c>
      <c r="E80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80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0.62176153846153837</v>
      </c>
      <c r="G80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80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1.482032</v>
      </c>
      <c r="I80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270</v>
      </c>
      <c r="J80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0.26976516129032263</v>
      </c>
      <c r="K80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80" s="70">
        <f>IFERROR(IF(Promotores[[#This Row],[Sell Out]]=0,0,IF($H$2&gt;=115%,225,IF($H$2&gt;=100%,150,IF($H$2&gt;=90%,75,0)))),0)</f>
        <v>0</v>
      </c>
      <c r="M80" s="70">
        <f>IF(Promotores[[#This Row],[Sell Out]]=0,0,IFERROR(IF(Promotores[[#This Row],[% App]]&gt;=100%,225,IF(Promotores[[#This Row],[% App]]&gt;=90%,112.5,0)),0))</f>
        <v>225</v>
      </c>
      <c r="N80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6.4000851894334193E-3</v>
      </c>
      <c r="O80" s="70">
        <f>IF(AND(N80&lt;=1.5%,Promotores[[#This Row],[Sell Out]]&gt;0,Promotores[[#This Row],[% Avi]]&lt;&gt;0),225,0)</f>
        <v>225</v>
      </c>
      <c r="P80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720</v>
      </c>
      <c r="Q80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Sul</v>
      </c>
      <c r="R80" s="125">
        <f>IFERROR(VLOOKUP(Promotores[[#This Row],[Promotor]],Base_APP[[Promotor]:[%]],6,0),"")</f>
        <v>1.4375</v>
      </c>
      <c r="S80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  <row r="81" spans="1:19" x14ac:dyDescent="0.3">
      <c r="A81" s="1" t="s">
        <v>74</v>
      </c>
      <c r="B81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0</v>
      </c>
      <c r="C81" s="1" t="str">
        <f>IF(Promotores[[#This Row],[Sell Out]]&gt;=300000,"A+",IF(Promotores[[#This Row],[Sell Out]]&gt;=260000,"A",IF(Promotores[[#This Row],[Sell Out]]&gt;=200000,"B","C")))</f>
        <v>C</v>
      </c>
      <c r="D81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</v>
      </c>
      <c r="E81" s="70">
        <f>IFERROR(IF(Promotores[[#This Row],[% Avi]]&lt;90%,0,VLOOKUP(Promotores[[#This Row],[Nível]],'Regras Premiação'!$T$4:$W$7,IF(Promotores[[#This Row],[% Avi]]&lt;100%,2,IF(Promotores[[#This Row],[% Avi]]&lt;115%,3,4)),0)),0)</f>
        <v>0</v>
      </c>
      <c r="F81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</v>
      </c>
      <c r="G81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81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</v>
      </c>
      <c r="I81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0</v>
      </c>
      <c r="J81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</v>
      </c>
      <c r="K81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81" s="70">
        <f>IFERROR(IF(Promotores[[#This Row],[Sell Out]]=0,0,IF($H$2&gt;=115%,225,IF($H$2&gt;=100%,150,IF($H$2&gt;=90%,75,0)))),0)</f>
        <v>0</v>
      </c>
      <c r="M81" s="70">
        <f>IF(Promotores[[#This Row],[Sell Out]]=0,0,IFERROR(IF(Promotores[[#This Row],[% App]]&gt;=100%,225,IF(Promotores[[#This Row],[% App]]&gt;=90%,112.5,0)),0))</f>
        <v>0</v>
      </c>
      <c r="N81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0</v>
      </c>
      <c r="O81" s="70">
        <f>IF(AND(N81&lt;=1.5%,Promotores[[#This Row],[Sell Out]]&gt;0,Promotores[[#This Row],[% Avi]]&lt;&gt;0),225,0)</f>
        <v>0</v>
      </c>
      <c r="P81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0</v>
      </c>
      <c r="Q81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Vago</v>
      </c>
      <c r="R81" s="125" t="str">
        <f>IFERROR(VLOOKUP(Promotores[[#This Row],[Promotor]],Base_APP[[Promotor]:[%]],6,0),"")</f>
        <v/>
      </c>
      <c r="S81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/>
      </c>
    </row>
    <row r="82" spans="1:19" x14ac:dyDescent="0.3">
      <c r="A82" s="1" t="s">
        <v>71</v>
      </c>
      <c r="B82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322632.89</v>
      </c>
      <c r="C82" s="1" t="str">
        <f>IF(Promotores[[#This Row],[Sell Out]]&gt;=300000,"A+",IF(Promotores[[#This Row],[Sell Out]]&gt;=260000,"A",IF(Promotores[[#This Row],[Sell Out]]&gt;=200000,"B","C")))</f>
        <v>A+</v>
      </c>
      <c r="D82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0.92180825714285719</v>
      </c>
      <c r="E82" s="70">
        <f>IFERROR(IF(Promotores[[#This Row],[% Avi]]&lt;90%,0,VLOOKUP(Promotores[[#This Row],[Nível]],'Regras Premiação'!$T$4:$W$7,IF(Promotores[[#This Row],[% Avi]]&lt;100%,2,IF(Promotores[[#This Row],[% Avi]]&lt;115%,3,4)),0)),0)</f>
        <v>100</v>
      </c>
      <c r="F82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0.8662051452282159</v>
      </c>
      <c r="G82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82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1.1807036</v>
      </c>
      <c r="I82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270</v>
      </c>
      <c r="J82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0.23666966666666667</v>
      </c>
      <c r="K82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82" s="70">
        <f>IFERROR(IF(Promotores[[#This Row],[Sell Out]]=0,0,IF($H$2&gt;=115%,225,IF($H$2&gt;=100%,150,IF($H$2&gt;=90%,75,0)))),0)</f>
        <v>0</v>
      </c>
      <c r="M82" s="70">
        <f>IF(Promotores[[#This Row],[Sell Out]]=0,0,IFERROR(IF(Promotores[[#This Row],[% App]]&gt;=100%,225,IF(Promotores[[#This Row],[% App]]&gt;=90%,112.5,0)),0))</f>
        <v>0</v>
      </c>
      <c r="N82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2.0055332858345595E-2</v>
      </c>
      <c r="O82" s="70">
        <f>IF(AND(N82&lt;=1.5%,Promotores[[#This Row],[Sell Out]]&gt;0,Promotores[[#This Row],[% Avi]]&lt;&gt;0),225,0)</f>
        <v>0</v>
      </c>
      <c r="P82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370</v>
      </c>
      <c r="Q82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82" s="125">
        <f>IFERROR(VLOOKUP(Promotores[[#This Row],[Promotor]],Base_APP[[Promotor]:[%]],6,0),"")</f>
        <v>0.875</v>
      </c>
      <c r="S82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83" spans="1:19" x14ac:dyDescent="0.3">
      <c r="A83" s="1" t="s">
        <v>609</v>
      </c>
      <c r="B83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280068.44999999995</v>
      </c>
      <c r="C83" s="1" t="str">
        <f>IF(Promotores[[#This Row],[Sell Out]]&gt;=300000,"A+",IF(Promotores[[#This Row],[Sell Out]]&gt;=260000,"A",IF(Promotores[[#This Row],[Sell Out]]&gt;=200000,"B","C")))</f>
        <v>A</v>
      </c>
      <c r="D83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0.95261377551020388</v>
      </c>
      <c r="E83" s="70">
        <f>IFERROR(IF(Promotores[[#This Row],[% Avi]]&lt;90%,0,VLOOKUP(Promotores[[#This Row],[Nível]],'Regras Premiação'!$T$4:$W$7,IF(Promotores[[#This Row],[% Avi]]&lt;100%,2,IF(Promotores[[#This Row],[% Avi]]&lt;115%,3,4)),0)),0)</f>
        <v>85</v>
      </c>
      <c r="F83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0.77412074850299395</v>
      </c>
      <c r="G83" s="70">
        <f>IFERROR(IF(Promotores[[#This Row],[% Capp]]&lt;90%,0,VLOOKUP(Promotores[[#This Row],[Nível]],'Regras Premiação'!$T$4:$W$7,IF(Promotores[[#This Row],[% Capp]]&lt;100%,2,IF(Promotores[[#This Row],[% Capp]]&lt;115%,3,4)),0)),0)</f>
        <v>0</v>
      </c>
      <c r="H83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0.97491263157894736</v>
      </c>
      <c r="I83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85</v>
      </c>
      <c r="J83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1.1364595238095236</v>
      </c>
      <c r="K83" s="70">
        <f>IFERROR(IF(Promotores[[#This Row],[% Pinh]]&lt;90%,0,VLOOKUP(Promotores[[#This Row],[Nível]],'Regras Premiação'!$T$4:$W$7,IF(Promotores[[#This Row],[% Pinh]]&lt;100%,2,IF(Promotores[[#This Row],[% Pinh]]&lt;115%,3,4)),0)),0)</f>
        <v>170</v>
      </c>
      <c r="L83" s="70">
        <f>IFERROR(IF(Promotores[[#This Row],[Sell Out]]=0,0,IF($H$2&gt;=115%,225,IF($H$2&gt;=100%,150,IF($H$2&gt;=90%,75,0)))),0)</f>
        <v>0</v>
      </c>
      <c r="M83" s="70">
        <f>IF(Promotores[[#This Row],[Sell Out]]=0,0,IFERROR(IF(Promotores[[#This Row],[% App]]&gt;=100%,225,IF(Promotores[[#This Row],[% App]]&gt;=90%,112.5,0)),0))</f>
        <v>225</v>
      </c>
      <c r="N83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3.6943004469086042E-2</v>
      </c>
      <c r="O83" s="70">
        <f>IF(AND(N83&lt;=1.5%,Promotores[[#This Row],[Sell Out]]&gt;0,Promotores[[#This Row],[% Avi]]&lt;&gt;0),225,0)</f>
        <v>0</v>
      </c>
      <c r="P83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565</v>
      </c>
      <c r="Q83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São Luís</v>
      </c>
      <c r="R83" s="125">
        <f>IFERROR(VLOOKUP(Promotores[[#This Row],[Promotor]],Base_APP[[Promotor]:[%]],6,0),"")</f>
        <v>1.5</v>
      </c>
      <c r="S83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Avine</v>
      </c>
    </row>
    <row r="84" spans="1:19" x14ac:dyDescent="0.3">
      <c r="A84" s="1" t="s">
        <v>622</v>
      </c>
      <c r="B84" s="70">
        <f>IF(Promotores[[#This Row],[Promotor]]="Nargila",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Row],[Promotor]],Basef[Fornecedor],"Pinheiro")+
$B$4,
SUMIFS(Basef[Tendencia],Basef[Promotor_Cappellaro],Promotores[[#This Row],[Promotor]],Basef[Fornecedor],"Cappellaro")+
SUMIFS(Basef[Tendencia],Basef[Promotor_Cappellaro],Promotores[[#This Row],[Promotor]],Basef[Fornecedor],"Famosa")+
SUMIFS(Basef[Tendencia],Basef[Promotor_Avine],Promotores[[#This Row],[Promotor]],Basef[Fornecedor],"Avine")+
SUMIFS(Basef[Tendencia],Basef[Promotor_Pinheiro],Promotores[[#This Row],[Promotor]],Basef[Fornecedor],"Pinheiro")
)</f>
        <v>342062.4</v>
      </c>
      <c r="C84" s="1" t="str">
        <f>IF(Promotores[[#This Row],[Sell Out]]&gt;=300000,"A+",IF(Promotores[[#This Row],[Sell Out]]&gt;=260000,"A",IF(Promotores[[#This Row],[Sell Out]]&gt;=200000,"B","C")))</f>
        <v>A+</v>
      </c>
      <c r="D84" s="61">
        <f>IF(Promotores[[#This Row],[Marca]]="Geral",IFERROR(SUMIFS(Basef[Tendencia],Basef[Promotor_Avine],Promotores[[#This Row],[Promotor]],Basef[Fornecedor],"Avine")/SUMIFS(Basef[META],Basef[Promotor_Avine],Promotores[[#This Row],[Promotor]],Basef[Fornecedor],"Avine"),0),
(IFERROR(SUMIFS(Basef[Tendencia],Basef[Promotor_Avine],Promotores[[#This Row],[Promotor]],Basef[Fornecedor],"Avine")/SUMIFS(Basef[META],Basef[Promotor_Avine],Promotores[[#This Row],[Promotor]],Basef[Fornecedor],"Avine"),0)+
IFERROR(SUMIFS(Basef[Tendencia],Basef[Promotor_Cappellaro],Promotores[[#This Row],[Promotor]],Basef[Fornecedor],"Avine")/SUMIFS(Basef[META],Basef[Promotor_Cappellaro],Promotores[[#This Row],[Promotor]],Basef[Fornecedor],"Avine"),0)))</f>
        <v>0.90907310043668121</v>
      </c>
      <c r="E84" s="70">
        <f>IFERROR(IF(Promotores[[#This Row],[% Avi]]&lt;90%,0,VLOOKUP(Promotores[[#This Row],[Nível]],'Regras Premiação'!$T$4:$W$7,IF(Promotores[[#This Row],[% Avi]]&lt;100%,2,IF(Promotores[[#This Row],[% Avi]]&lt;115%,3,4)),0)),0)</f>
        <v>100</v>
      </c>
      <c r="F84" s="61">
        <f>IF(Promotores[[#This Row],[Marca]]="Geral",IFERROR(SUMIFS(Basef[Tendencia],Basef[Promotor_Avine],Promotores[[#This Row],[Promotor]],Basef[Fornecedor],"Cappellaro")/SUMIFS(Basef[META],Basef[Promotor_Avine],Promotores[[#This Row],[Promotor]],Basef[Fornecedor],"Cappellaro"),0),
(IFERROR(SUMIFS(Basef[Tendencia],Basef[Promotor_Avine],Promotores[[#This Row],[Promotor]],Basef[Fornecedor],"Cappellaro")/SUMIFS(Basef[META],Basef[Promotor_Avine],Promotores[[#This Row],[Promotor]],Basef[Fornecedor],"Cappellaro"),0)+
IFERROR(SUMIFS(Basef[Tendencia],Basef[Promotor_Cappellaro],Promotores[[#This Row],[Promotor]],Basef[Fornecedor],"Cappellaro")/SUMIFS(Basef[META],Basef[Promotor_Cappellaro],Promotores[[#This Row],[Promotor]],Basef[Fornecedor],"Cappellaro"),0)))</f>
        <v>1.025767652173913</v>
      </c>
      <c r="G84" s="70">
        <f>IFERROR(IF(Promotores[[#This Row],[% Capp]]&lt;90%,0,VLOOKUP(Promotores[[#This Row],[Nível]],'Regras Premiação'!$T$4:$W$7,IF(Promotores[[#This Row],[% Capp]]&lt;100%,2,IF(Promotores[[#This Row],[% Capp]]&lt;115%,3,4)),0)),0)</f>
        <v>200</v>
      </c>
      <c r="H84" s="61">
        <f>IF(Promotores[[#This Row],[Marca]]="Geral",IFERROR(SUMIFS(Basef[Tendencia],Basef[Promotor_Avine],Promotores[[#This Row],[Promotor]],Basef[Fornecedor],"Famosa")/SUMIFS(Basef[META],Basef[Promotor_Avine],Promotores[[#This Row],[Promotor]],Basef[Fornecedor],"Famosa"),0),
(IFERROR(SUMIFS(Basef[Tendencia],Basef[Promotor_Avine],Promotores[[#This Row],[Promotor]],Basef[Fornecedor],"Famosa")/SUMIFS(Basef[META],Basef[Promotor_Avine],Promotores[[#This Row],[Promotor]],Basef[Fornecedor],"Famosa"),0)+
IFERROR(SUMIFS(Basef[Tendencia],Basef[Promotor_Cappellaro],Promotores[[#This Row],[Promotor]],Basef[Fornecedor],"Famosa")/SUMIFS(Basef[META],Basef[Promotor_Cappellaro],Promotores[[#This Row],[Promotor]],Basef[Fornecedor],"Famosa"),0)))</f>
        <v>1.1372414285714287</v>
      </c>
      <c r="I84" s="70">
        <f>IFERROR(IF(OR(Promotores[[#This Row],[Regional]]="Ceará"),0,IF(Promotores[[#This Row],[% Fam]]&lt;90%,0,VLOOKUP(Promotores[[#This Row],[Nível]],'Regras Premiação'!$T$4:$W$7,IF(Promotores[[#This Row],[% Fam]]&lt;100%,2,IF(Promotores[[#This Row],[% Fam]]&lt;115%,3,4)),0))),0)</f>
        <v>200</v>
      </c>
      <c r="J84" s="61">
        <f>IF(Promotores[[#This Row],[Marca]]="Geral",
IFERROR(SUMIFS(Basef[Tendencia],Basef[Promotor_Avine],Promotores[[#This Row],[Promotor]],Basef[Fornecedor],"Pinheiro")/SUMIFS(Basef[META],Basef[Promotor_Avine],Promotores[[#This Row],[Promotor]],Basef[Fornecedor],"Pinheiro"),0),
(IFERROR(SUMIFS(Basef[Tendencia],Basef[Promotor_Avine],Promotores[[#This Row],[Promotor]],Basef[Fornecedor],"Pinheiro")/SUMIFS(Basef[META],Basef[Promotor_Avine],Promotores[[#This Row],[Promotor]],Basef[Fornecedor],"Pinheiro"),0)+
IFERROR(SUMIFS(Basef[Tendencia],Basef[Promotor_Pinheiro],Promotores[[#This Row],[Promotor]],Basef[Fornecedor],"Pinheiro")/SUMIFS(Basef[META],Basef[Promotor_Pinheiro],Promotores[[#This Row],[Promotor]],Basef[Fornecedor],"Pinheiro"),0)))</f>
        <v>0.35917142857142853</v>
      </c>
      <c r="K84" s="70">
        <f>IFERROR(IF(Promotores[[#This Row],[% Pinh]]&lt;90%,0,VLOOKUP(Promotores[[#This Row],[Nível]],'Regras Premiação'!$T$4:$W$7,IF(Promotores[[#This Row],[% Pinh]]&lt;100%,2,IF(Promotores[[#This Row],[% Pinh]]&lt;115%,3,4)),0)),0)</f>
        <v>0</v>
      </c>
      <c r="L84" s="70">
        <f>IFERROR(IF(Promotores[[#This Row],[Sell Out]]=0,0,IF($H$2&gt;=115%,225,IF($H$2&gt;=100%,150,IF($H$2&gt;=90%,75,0)))),0)</f>
        <v>0</v>
      </c>
      <c r="M84" s="70">
        <f>IF(Promotores[[#This Row],[Sell Out]]=0,0,IFERROR(IF(Promotores[[#This Row],[% App]]&gt;=100%,225,IF(Promotores[[#This Row],[% App]]&gt;=90%,112.5,0)),0))</f>
        <v>0</v>
      </c>
      <c r="N84" s="61">
        <f>IF(Promotores[[#This Row],[Marca]]="Geral",(IFERROR(SUMIFS(Basef[Devolucao],Basef[Promotor_Avine],Promotores[[#This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Row],[Promotor]],Basef[Fornecedor],"Avine"),0))/2,(IFERROR(SUMIFS(Basef[Devolucao],Basef[Promotor_Avine],Promotores[[#This Row],[Promotor]])/SUMIFS(Basef[Tendencia],Basef[Promotor_Avine],Promotores[[#This Row],[Promotor]],Basef[Fornecedor],"Avine"),0)
+IFERROR(SUMIFS(Basef[Devolucao],Basef[Promotor_Cappellaro],Promotores[[#This Row],[Promotor]])/SUMIFS(Basef[Tendencia],Basef[Promotor_Cappellaro],Promotores[[#This Row],[Promotor]],Basef[Fornecedor],"Avine"),0)))</f>
        <v>1.573852228389068E-2</v>
      </c>
      <c r="O84" s="70">
        <f>IF(AND(N84&lt;=1.5%,Promotores[[#This Row],[Sell Out]]&gt;0,Promotores[[#This Row],[% Avi]]&lt;&gt;0),225,0)</f>
        <v>0</v>
      </c>
      <c r="P84" s="70">
        <f>IF(Promotores[[#This Row],[Nível]]="Líder",1485,IF(Promotores[[#This Row],[Sell Out]]=0,0,SUM(Promotores[[#This Row],[R$ Avi]],Promotores[[#This Row],[R$ Capp]],Promotores[[#This Row],[R$ Fam]],Promotores[[#This Row],[R$ Pinh]],Promotores[[#This Row],[Master]],Promotores[[#This Row],[R$ APP]],Promotores[[#This Row],[R$ Dev]])))</f>
        <v>500</v>
      </c>
      <c r="Q84" s="70" t="str">
        <f>IFERROR(VLOOKUP(Promotores[[#This Row],[Promotor]],Basef[[Promotor_Avine]:[Reg]],7,0),
IFERROR(VLOOKUP(Promotores[[#This Row],[Promotor]],Basef[[Promotor_Cappellaro]:[Reg]],6,0),IFERROR(VLOOKUP(Promotores[[#This Row],[Promotor]],Basef[[Promotor_Famosa]:[Reg]],5,0),
IFERROR(VLOOKUP(Promotores[[#This Row],[Promotor]],Basef[[Promotor_Pinheiro]:[Reg]],4,0),"Vago"))))</f>
        <v>MA Sul</v>
      </c>
      <c r="R84" s="125">
        <f>IFERROR(VLOOKUP(Promotores[[#This Row],[Promotor]],Base_APP[[Promotor]:[%]],6,0),"")</f>
        <v>0.5</v>
      </c>
      <c r="S84" s="70" t="str">
        <f>_xlfn.LET(
    _xlpm.p,Promotores[[#This Row],[Promotor]],
    _xlpm.av,IF(COUNTIF(Basef[Promotor_Avine],_xlpm.p)&gt;0,1,0),
    _xlpm.ca,IF(COUNTIF(Basef[Promotor_Cappellaro],_xlpm.p)&gt;0,1,0),
    _xlpm.fa,IF(COUNTIF(Basef[Promotor_Famosa],_xlpm.p)&gt;0,1,0),
    _xlpm.pi,IF(COUNTIF(Basef[Promotor_Pinheiro],_xlpm.p)&gt;0,1,0),
    _xlpm.total,_xlpm.av+_xlpm.ca+_xlpm.fa+_xlpm.pi,
    IF(_xlpm.total&gt;=2,"Geral",
        IF(_xlpm.av=1,"Avine",
            IF(_xlpm.ca=1,"Cappellaro",
                IF(_xlpm.fa=1,"Famosa",
                    IF(_xlpm.pi=1,"Pinheiro","")
                )
            )
        )
    )
)</f>
        <v>Geral</v>
      </c>
    </row>
  </sheetData>
  <conditionalFormatting sqref="A8:A84">
    <cfRule type="duplicateValues" dxfId="255" priority="45"/>
  </conditionalFormatting>
  <pageMargins left="0.7" right="0.7" top="0.75" bottom="0.75" header="0.3" footer="0.3"/>
  <pageSetup paperSize="9" orientation="portrait" r:id="rId1"/>
  <ignoredErrors>
    <ignoredError sqref="AD10:AG10 AA10 AK10 AI10 W9:W10 W12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0BB4-7C77-4362-B1D9-189AA684065A}">
  <dimension ref="B1:L21"/>
  <sheetViews>
    <sheetView showGridLines="0" zoomScale="70" zoomScaleNormal="70" workbookViewId="0">
      <selection activeCell="O27" sqref="O27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312</v>
      </c>
      <c r="C2" s="232" t="s">
        <v>307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6" t="s">
        <v>430</v>
      </c>
      <c r="I8" s="81"/>
      <c r="J8" s="239">
        <f>SUM(H11,H14,H17,H21,L14,L16)</f>
        <v>750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'Quadro Geral'!Y17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'Quadro Geral'!AA17</f>
        <v>0</v>
      </c>
      <c r="I14" s="81"/>
      <c r="J14" s="244" t="s">
        <v>321</v>
      </c>
      <c r="K14" s="244"/>
      <c r="L14" s="85">
        <f>'Quadro Geral'!AH17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52</v>
      </c>
      <c r="K16" s="244"/>
      <c r="L16" s="85">
        <f>'Quadro Geral'!AI17</f>
        <v>400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'Quadro Geral'!AC17</f>
        <v>350</v>
      </c>
      <c r="I17" s="81"/>
      <c r="J17" s="234" t="s">
        <v>321</v>
      </c>
      <c r="K17" s="234"/>
      <c r="L17" s="90"/>
    </row>
    <row r="18" spans="2:12" ht="12" customHeight="1" x14ac:dyDescent="0.4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12" hidden="1" customHeight="1" x14ac:dyDescent="0.45">
      <c r="B19" s="88"/>
      <c r="C19" s="89"/>
      <c r="D19" s="89"/>
      <c r="E19" s="81"/>
      <c r="F19" s="81"/>
      <c r="G19" s="81"/>
      <c r="H19" s="89"/>
      <c r="I19" s="81"/>
      <c r="J19" s="81"/>
      <c r="K19" s="81"/>
      <c r="L19" s="82"/>
    </row>
    <row r="20" spans="2:12" ht="24" thickBot="1" x14ac:dyDescent="0.5">
      <c r="B20" s="80" t="s">
        <v>94</v>
      </c>
      <c r="C20" s="84"/>
      <c r="D20" s="84" t="s">
        <v>330</v>
      </c>
      <c r="E20" s="84"/>
      <c r="F20" s="84" t="s">
        <v>317</v>
      </c>
      <c r="G20" s="81"/>
      <c r="H20" s="84" t="s">
        <v>321</v>
      </c>
      <c r="I20" s="81"/>
      <c r="J20" s="81"/>
      <c r="K20" s="81"/>
      <c r="L20" s="82"/>
    </row>
    <row r="21" spans="2:12" ht="24" thickBot="1" x14ac:dyDescent="0.5">
      <c r="B21" s="85">
        <f>IFERROR(VLOOKUP(C2,#REF!,2,0),0)</f>
        <v>0</v>
      </c>
      <c r="C21" s="91"/>
      <c r="D21" s="85">
        <f>IFERROR(VLOOKUP(C2,#REF!,6,0),0)</f>
        <v>0</v>
      </c>
      <c r="E21" s="91"/>
      <c r="F21" s="92">
        <f>IFERROR(D21/B21,0)</f>
        <v>0</v>
      </c>
      <c r="G21" s="91"/>
      <c r="H21" s="85">
        <f>'Quadro Geral'!AK17</f>
        <v>0</v>
      </c>
      <c r="I21" s="91"/>
      <c r="J21" s="235"/>
      <c r="K21" s="235"/>
      <c r="L21" s="236"/>
    </row>
  </sheetData>
  <mergeCells count="11">
    <mergeCell ref="C2:D2"/>
    <mergeCell ref="K2:L2"/>
    <mergeCell ref="K3:L3"/>
    <mergeCell ref="J17:K17"/>
    <mergeCell ref="J21:L21"/>
    <mergeCell ref="J7:L7"/>
    <mergeCell ref="J8:L8"/>
    <mergeCell ref="J10:L10"/>
    <mergeCell ref="J13:K13"/>
    <mergeCell ref="J14:K14"/>
    <mergeCell ref="J16:K16"/>
  </mergeCells>
  <conditionalFormatting sqref="F8 F11 L13 F14 F17">
    <cfRule type="cellIs" dxfId="254" priority="3" operator="greaterThanOrEqual">
      <formula>1</formula>
    </cfRule>
    <cfRule type="cellIs" dxfId="253" priority="4" operator="lessThan">
      <formula>0.9</formula>
    </cfRule>
    <cfRule type="cellIs" dxfId="252" priority="5" operator="between">
      <formula>0.9</formula>
      <formula>1</formula>
    </cfRule>
  </conditionalFormatting>
  <conditionalFormatting sqref="F21">
    <cfRule type="cellIs" dxfId="251" priority="1" operator="greaterThan">
      <formula>0.01</formula>
    </cfRule>
    <cfRule type="cellIs" dxfId="250" priority="2" operator="lessThanOrEqual">
      <formula>0.01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CD41-4AE6-42E8-B37B-2442ED64D97E}">
  <dimension ref="B1:L20"/>
  <sheetViews>
    <sheetView showGridLines="0" zoomScale="70" zoomScaleNormal="70" workbookViewId="0">
      <selection activeCell="O27" sqref="O27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312</v>
      </c>
      <c r="C2" s="232" t="s">
        <v>310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e">
        <f>VLOOKUP($C$2,Coordenadores[],3,0)</f>
        <v>#N/A</v>
      </c>
      <c r="I8" s="81"/>
      <c r="J8" s="239" t="e">
        <f>SUM(H11,H14,H17,H20,L14,L16)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VLOOKUP($C$2,Coordenadores[],5,0)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VLOOKUP($C$2,Coordenadores[],7,0)</f>
        <v>#N/A</v>
      </c>
      <c r="I14" s="81"/>
      <c r="J14" s="244" t="s">
        <v>321</v>
      </c>
      <c r="K14" s="244"/>
      <c r="L14" s="85" t="e">
        <f>VLOOKUP($C$2,Coordenadores[],14,0)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52</v>
      </c>
      <c r="K16" s="244"/>
      <c r="L16" s="85" t="e">
        <f>VLOOKUP($C$2,Coordenadores[],15,0)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VLOOKUP($C$2,Coordenadores[],9,0)</f>
        <v>#N/A</v>
      </c>
      <c r="I17" s="81"/>
      <c r="J17" s="234" t="s">
        <v>321</v>
      </c>
      <c r="K17" s="234"/>
      <c r="L17" s="90"/>
    </row>
    <row r="18" spans="2:12" ht="12" customHeight="1" x14ac:dyDescent="0.4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329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81"/>
      <c r="K19" s="81"/>
      <c r="L19" s="82"/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e">
        <f>VLOOKUP($C$2,Coordenadores[],17,0)</f>
        <v>#N/A</v>
      </c>
      <c r="I20" s="91"/>
      <c r="J20" s="235"/>
      <c r="K20" s="235"/>
      <c r="L20" s="236"/>
    </row>
  </sheetData>
  <mergeCells count="11"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20:L20"/>
  </mergeCells>
  <conditionalFormatting sqref="F8 F11 L13 F14 F17">
    <cfRule type="cellIs" dxfId="249" priority="3" operator="greaterThanOrEqual">
      <formula>1</formula>
    </cfRule>
    <cfRule type="cellIs" dxfId="248" priority="4" operator="lessThan">
      <formula>0.9</formula>
    </cfRule>
    <cfRule type="cellIs" dxfId="247" priority="5" operator="between">
      <formula>0.9</formula>
      <formula>1</formula>
    </cfRule>
  </conditionalFormatting>
  <conditionalFormatting sqref="F20">
    <cfRule type="cellIs" dxfId="246" priority="1" operator="greaterThan">
      <formula>0.01</formula>
    </cfRule>
    <cfRule type="cellIs" dxfId="245" priority="2" operator="lessThanOrEqual">
      <formula>0.01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0F1E-15BC-491B-8410-9BEEDE6340BA}">
  <dimension ref="B1:L20"/>
  <sheetViews>
    <sheetView showGridLines="0" zoomScale="70" zoomScaleNormal="70" workbookViewId="0">
      <selection activeCell="O27" sqref="O27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312</v>
      </c>
      <c r="C2" s="232" t="s">
        <v>308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VLOOKUP($C$2,Coordenadores[],3,0)</f>
        <v>A+</v>
      </c>
      <c r="I8" s="81"/>
      <c r="J8" s="239">
        <f>SUM(H11,H14,H17,L14,L16)</f>
        <v>435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VLOOKUP($C$2,Coordenadores[],5,0)</f>
        <v>135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VLOOKUP($C$2,Coordenadores[],7,0)</f>
        <v>0</v>
      </c>
      <c r="I14" s="81"/>
      <c r="J14" s="244" t="s">
        <v>321</v>
      </c>
      <c r="K14" s="244"/>
      <c r="L14" s="85">
        <f>VLOOKUP($C$2,Coordenadores[],14,0)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52</v>
      </c>
      <c r="K16" s="244"/>
      <c r="L16" s="85">
        <f>VLOOKUP($C$2,Coordenadores[],15,0)</f>
        <v>300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VLOOKUP($C$2,Coordenadores[],9,0)</f>
        <v>0</v>
      </c>
      <c r="I17" s="81"/>
      <c r="J17" s="234" t="s">
        <v>321</v>
      </c>
      <c r="K17" s="234"/>
      <c r="L17" s="90"/>
    </row>
    <row r="18" spans="2:12" ht="12" customHeight="1" x14ac:dyDescent="0.4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329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81"/>
      <c r="K19" s="81"/>
      <c r="L19" s="82"/>
    </row>
    <row r="20" spans="2:12" ht="24" thickBot="1" x14ac:dyDescent="0.5">
      <c r="B20" s="85">
        <f>IFERROR(VLOOKUP(C2,#REF!,5,0),0)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>
        <f>VLOOKUP($C$2,Coordenadores[],17,0)</f>
        <v>0</v>
      </c>
      <c r="I20" s="91"/>
      <c r="J20" s="235"/>
      <c r="K20" s="235"/>
      <c r="L20" s="236"/>
    </row>
  </sheetData>
  <mergeCells count="11"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20:L20"/>
  </mergeCells>
  <conditionalFormatting sqref="F8 F11 L13 F14 F17">
    <cfRule type="cellIs" dxfId="244" priority="3" operator="greaterThanOrEqual">
      <formula>1</formula>
    </cfRule>
    <cfRule type="cellIs" dxfId="243" priority="4" operator="lessThan">
      <formula>0.9</formula>
    </cfRule>
    <cfRule type="cellIs" dxfId="242" priority="5" operator="between">
      <formula>0.9</formula>
      <formula>1</formula>
    </cfRule>
  </conditionalFormatting>
  <conditionalFormatting sqref="F20">
    <cfRule type="cellIs" dxfId="241" priority="1" operator="greaterThan">
      <formula>0.01</formula>
    </cfRule>
    <cfRule type="cellIs" dxfId="240" priority="2" operator="lessThanOrEqual">
      <formula>0.01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F1E-093D-4297-923B-88C308EA2A59}">
  <dimension ref="B1:L23"/>
  <sheetViews>
    <sheetView showGridLines="0" zoomScale="70" zoomScaleNormal="70" workbookViewId="0">
      <selection activeCell="P26" sqref="P26"/>
    </sheetView>
  </sheetViews>
  <sheetFormatPr defaultRowHeight="14.4" x14ac:dyDescent="0.3"/>
  <cols>
    <col min="1" max="1" width="1.88671875" customWidth="1"/>
    <col min="2" max="2" width="31.109375" bestFit="1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384</v>
      </c>
      <c r="C2" s="232" t="s">
        <v>311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SUM(B11,B14,B17,B20)</f>
        <v>0</v>
      </c>
      <c r="C8" s="81"/>
      <c r="D8" s="85">
        <f>SUM(D11,D14,D17,D20)</f>
        <v>0</v>
      </c>
      <c r="E8" s="81"/>
      <c r="F8" s="86">
        <f>IFERROR(D8/B8,0)</f>
        <v>0</v>
      </c>
      <c r="G8" s="81"/>
      <c r="H8" s="87" t="e">
        <f>VLOOKUP($C$2,Coordenadores[],3,0)</f>
        <v>#N/A</v>
      </c>
      <c r="I8" s="81"/>
      <c r="J8" s="239" t="e">
        <f>SUM(H11,H14,H17,H20,H23,L14,L16)+'Quadro Geral'!AE8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VLOOKUP($C$2,Coordenadores[],5,0)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VLOOKUP($C$2,Coordenadores[],7,0)</f>
        <v>#N/A</v>
      </c>
      <c r="I14" s="81"/>
      <c r="J14" s="244" t="s">
        <v>321</v>
      </c>
      <c r="K14" s="244"/>
      <c r="L14" s="85" t="e">
        <f>VLOOKUP($C$2,Coordenadores[],14,0)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327</v>
      </c>
      <c r="C16" s="84"/>
      <c r="D16" s="84" t="s">
        <v>328</v>
      </c>
      <c r="E16" s="84"/>
      <c r="F16" s="84" t="s">
        <v>317</v>
      </c>
      <c r="G16" s="84"/>
      <c r="H16" s="84" t="s">
        <v>321</v>
      </c>
      <c r="I16" s="81"/>
      <c r="J16" s="244" t="s">
        <v>52</v>
      </c>
      <c r="K16" s="244"/>
      <c r="L16" s="85" t="e">
        <f>VLOOKUP($C$2,Coordenadores[],15,0)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VLOOKUP($C$2,Coordenadores[],9,0)</f>
        <v>#N/A</v>
      </c>
      <c r="I17" s="81"/>
      <c r="J17" s="234" t="s">
        <v>321</v>
      </c>
      <c r="K17" s="234"/>
      <c r="L17" s="90"/>
    </row>
    <row r="18" spans="2:12" ht="12" customHeight="1" x14ac:dyDescent="0.4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hidden="1" thickBot="1" x14ac:dyDescent="0.5">
      <c r="B19" s="80" t="s">
        <v>379</v>
      </c>
      <c r="C19" s="84"/>
      <c r="D19" s="84" t="s">
        <v>380</v>
      </c>
      <c r="E19" s="84"/>
      <c r="F19" s="84" t="s">
        <v>317</v>
      </c>
      <c r="G19" s="84"/>
      <c r="H19" s="84" t="s">
        <v>321</v>
      </c>
      <c r="I19" s="81"/>
      <c r="J19" s="81"/>
      <c r="K19" s="81"/>
      <c r="L19" s="82"/>
    </row>
    <row r="20" spans="2:12" ht="24" hidden="1" thickBot="1" x14ac:dyDescent="0.5">
      <c r="B20" s="85">
        <f>IFERROR(VLOOKUP(C2,#REF!,4,0),0)</f>
        <v>0</v>
      </c>
      <c r="C20" s="81"/>
      <c r="D20" s="85">
        <f>IFERROR(VLOOKUP(C2,#REF!,2,0),0)</f>
        <v>0</v>
      </c>
      <c r="E20" s="81"/>
      <c r="F20" s="86">
        <f>IFERROR(D20/B20,0)</f>
        <v>0</v>
      </c>
      <c r="G20" s="81"/>
      <c r="H20" s="85" t="e">
        <f>VLOOKUP($C$2,Coordenadores[],13,0)</f>
        <v>#N/A</v>
      </c>
      <c r="I20" s="81"/>
      <c r="J20" s="81"/>
      <c r="K20" s="81"/>
      <c r="L20" s="82"/>
    </row>
    <row r="21" spans="2:12" ht="12" hidden="1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2"/>
    </row>
    <row r="22" spans="2:12" ht="24" thickBot="1" x14ac:dyDescent="0.5">
      <c r="B22" s="80" t="s">
        <v>94</v>
      </c>
      <c r="C22" s="84"/>
      <c r="D22" s="84" t="s">
        <v>330</v>
      </c>
      <c r="E22" s="84"/>
      <c r="F22" s="84" t="s">
        <v>317</v>
      </c>
      <c r="G22" s="81"/>
      <c r="H22" s="84" t="s">
        <v>321</v>
      </c>
      <c r="I22" s="81"/>
      <c r="J22" s="81"/>
      <c r="K22" s="81"/>
      <c r="L22" s="82"/>
    </row>
    <row r="23" spans="2:12" ht="24" thickBot="1" x14ac:dyDescent="0.5">
      <c r="B23" s="85">
        <f>IFERROR(VLOOKUP(C2,#REF!,2,0),0)</f>
        <v>0</v>
      </c>
      <c r="C23" s="91"/>
      <c r="D23" s="85">
        <f>IFERROR(VLOOKUP(C2,#REF!,6,0),0)</f>
        <v>0</v>
      </c>
      <c r="E23" s="91"/>
      <c r="F23" s="92">
        <f>IFERROR(D23/B23,0)</f>
        <v>0</v>
      </c>
      <c r="G23" s="91"/>
      <c r="H23" s="85" t="e">
        <f>VLOOKUP($C$2,Coordenadores[],17,0)</f>
        <v>#N/A</v>
      </c>
      <c r="I23" s="91"/>
      <c r="J23" s="235"/>
      <c r="K23" s="235"/>
      <c r="L23" s="236"/>
    </row>
  </sheetData>
  <mergeCells count="11"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23:L23"/>
  </mergeCells>
  <conditionalFormatting sqref="F8 F11 L13 F14 F17 F20">
    <cfRule type="cellIs" dxfId="239" priority="3" operator="greaterThanOrEqual">
      <formula>1</formula>
    </cfRule>
    <cfRule type="cellIs" dxfId="238" priority="4" operator="lessThan">
      <formula>0.9</formula>
    </cfRule>
    <cfRule type="cellIs" dxfId="237" priority="5" operator="between">
      <formula>0.9</formula>
      <formula>1</formula>
    </cfRule>
  </conditionalFormatting>
  <conditionalFormatting sqref="F23">
    <cfRule type="cellIs" dxfId="236" priority="1" operator="greaterThan">
      <formula>0.01</formula>
    </cfRule>
    <cfRule type="cellIs" dxfId="235" priority="2" operator="lessThanOrEqual">
      <formula>0.01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C1FB-362A-49A5-8318-19378ABE4F8E}">
  <dimension ref="B1:L20"/>
  <sheetViews>
    <sheetView showGridLines="0" zoomScale="70" zoomScaleNormal="70" workbookViewId="0">
      <selection activeCell="O27" sqref="O27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312</v>
      </c>
      <c r="C2" s="232" t="s">
        <v>309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VLOOKUP($C$2,Coordenadores[],3,0)</f>
        <v>A+</v>
      </c>
      <c r="I8" s="81"/>
      <c r="J8" s="239">
        <f>SUM(H11,H14,H17,L14,L16,H20)</f>
        <v>570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VLOOKUP($C$2,Coordenadores[],5,0)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VLOOKUP($C$2,Coordenadores[],7,0)</f>
        <v>0</v>
      </c>
      <c r="I14" s="81"/>
      <c r="J14" s="244" t="s">
        <v>321</v>
      </c>
      <c r="K14" s="244"/>
      <c r="L14" s="85">
        <f>VLOOKUP($C$2,Coordenadores[],14,0)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52</v>
      </c>
      <c r="K16" s="244"/>
      <c r="L16" s="85">
        <f>VLOOKUP($C$2,Coordenadores[],15,0)</f>
        <v>300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VLOOKUP($C$2,Coordenadores[],9,0)</f>
        <v>270</v>
      </c>
      <c r="I17" s="81"/>
      <c r="J17" s="234" t="s">
        <v>321</v>
      </c>
      <c r="K17" s="234"/>
      <c r="L17" s="90"/>
    </row>
    <row r="18" spans="2:12" ht="12" customHeight="1" x14ac:dyDescent="0.4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329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81"/>
      <c r="K19" s="81"/>
      <c r="L19" s="82"/>
    </row>
    <row r="20" spans="2:12" ht="24" thickBot="1" x14ac:dyDescent="0.5">
      <c r="B20" s="85">
        <f>IFERROR(VLOOKUP(C2,#REF!,5,0),0)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>
        <f>VLOOKUP($C$2,Coordenadores[],17,0)</f>
        <v>0</v>
      </c>
      <c r="I20" s="91"/>
      <c r="J20" s="235"/>
      <c r="K20" s="235"/>
      <c r="L20" s="236"/>
    </row>
  </sheetData>
  <mergeCells count="11">
    <mergeCell ref="J13:K13"/>
    <mergeCell ref="J14:K14"/>
    <mergeCell ref="J16:K16"/>
    <mergeCell ref="J17:K17"/>
    <mergeCell ref="J20:L20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234" priority="3" operator="greaterThanOrEqual">
      <formula>1</formula>
    </cfRule>
    <cfRule type="cellIs" dxfId="233" priority="4" operator="lessThan">
      <formula>0.9</formula>
    </cfRule>
    <cfRule type="cellIs" dxfId="232" priority="5" operator="between">
      <formula>0.9</formula>
      <formula>1</formula>
    </cfRule>
  </conditionalFormatting>
  <conditionalFormatting sqref="F20">
    <cfRule type="cellIs" dxfId="231" priority="1" operator="greaterThan">
      <formula>0.01</formula>
    </cfRule>
    <cfRule type="cellIs" dxfId="230" priority="2" operator="lessThanOrEqual">
      <formula>0.01</formula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F034-F600-49CE-AECB-1FD9B7162A66}">
  <dimension ref="B1:L23"/>
  <sheetViews>
    <sheetView showGridLines="0" zoomScale="70" zoomScaleNormal="70" workbookViewId="0">
      <selection activeCell="C2" sqref="C2:D2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3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440</v>
      </c>
      <c r="C2" s="232" t="s">
        <v>471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194" t="s">
        <v>315</v>
      </c>
      <c r="C7" s="84"/>
      <c r="D7" s="84" t="s">
        <v>556</v>
      </c>
      <c r="E7" s="84"/>
      <c r="F7" s="178" t="s">
        <v>317</v>
      </c>
      <c r="G7" s="84"/>
      <c r="H7" s="84" t="s">
        <v>58</v>
      </c>
      <c r="I7" s="81"/>
      <c r="J7" s="245" t="s">
        <v>318</v>
      </c>
      <c r="K7" s="245"/>
      <c r="L7" s="246"/>
    </row>
    <row r="8" spans="2:12" ht="24" thickBot="1" x14ac:dyDescent="0.5">
      <c r="B8" s="195">
        <f>SUM(B11,B14,B17)</f>
        <v>0</v>
      </c>
      <c r="C8" s="81"/>
      <c r="D8" s="85">
        <f>VLOOKUP($C$2,Promotores[[Promotor]:[Sell Out]],2,0)</f>
        <v>0</v>
      </c>
      <c r="E8" s="81"/>
      <c r="F8" s="180">
        <f>IFERROR(D8/B8,0)</f>
        <v>0</v>
      </c>
      <c r="G8" s="81"/>
      <c r="H8" s="87" t="str">
        <f>VLOOKUP($C$2,Promotores[],3,0)</f>
        <v>C</v>
      </c>
      <c r="I8" s="81"/>
      <c r="J8" s="247">
        <f>VLOOKUP(C2,'Quadro Geral'!$A$8:$P$84,16,0)</f>
        <v>0</v>
      </c>
      <c r="K8" s="248"/>
      <c r="L8" s="249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IF(VLOOKUP($C$2,Promotores[],19,0)="Geral",
IFERROR(SUMIFS(Basef[META],Basef[Promotor_Avine],$C$2,Basef[Fornecedor],"Avine"),0),
IFERROR(SUMIFS(Basef[META],Basef[Promotor_Avine],$C$2,Basef[Fornecedor],"Avine")+SUMIFS(Basef[META],Basef[Promotor_Cappellaro],$C$2,Basef[Fornecedor],"Avine"),0))</f>
        <v>0</v>
      </c>
      <c r="C11" s="81"/>
      <c r="D11" s="85">
        <f>IF(VLOOKUP($C$2,Promotores[],19,0)="Geral",
IFERROR(SUMIFS(Basef[Tendencia],Basef[Promotor_Avine],$C$2,Basef[Fornecedor],"Avine"),0),
IFERROR(SUMIFS(Basef[Tendencia],Basef[Promotor_Avine],$C$2,Basef[Fornecedor],"Avine")+SUMIFS(Basef[Tendencia],Basef[Promotor_Cappellaro],$C$2,Basef[Fornecedor],"Avine"),0))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50"/>
      <c r="L13" s="86">
        <f>'Quadro Geral'!H2</f>
        <v>0.78906184341036245</v>
      </c>
    </row>
    <row r="14" spans="2:12" ht="24" thickBot="1" x14ac:dyDescent="0.5">
      <c r="B14" s="85">
        <f>IF(VLOOKUP($C$2,Promotores[],19,0)="Geral",
IFERROR(SUMIFS(Basef[META],Basef[Promotor_Avine],$C$2,Basef[Fornecedor],"Cappellaro"),0),
IFERROR(SUMIFS(Basef[META],Basef[Promotor_Avine],$C$2,Basef[Fornecedor],"Cappellaro")+SUMIFS(Basef[META],Basef[Promotor_Cappellaro],$C$2,Basef[Fornecedor],"Cappellaro"),0))</f>
        <v>0</v>
      </c>
      <c r="C14" s="81"/>
      <c r="D14" s="85">
        <f>IF(VLOOKUP($C$2,Promotores[],19,0)="Geral",
IFERROR(SUMIFS(Basef[Tendencia],Basef[Promotor_Avine],$C$2,Basef[Fornecedor],"Cappellaro"),0),
IFERROR(SUMIFS(Basef[Tendencia],Basef[Promotor_Avine],$C$2,Basef[Fornecedor],"Cappellaro")+SUMIFS(Basef[Tendencia],Basef[Promotor_Cappellaro],$C$2,Basef[Fornecedor],"Cappellaro"),0))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50"/>
      <c r="L14" s="85">
        <f>VLOOKUP($C$2,Promotores[],12,0)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569</v>
      </c>
      <c r="C16" s="84"/>
      <c r="D16" s="84" t="s">
        <v>570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50"/>
      <c r="L16" s="85">
        <f>VLOOKUP($C$2,Promotores[],13,0)</f>
        <v>0</v>
      </c>
    </row>
    <row r="17" spans="2:12" ht="24" thickBot="1" x14ac:dyDescent="0.5">
      <c r="B17" s="85">
        <f>IF(VLOOKUP($C$2,Promotores[],19,0)="Geral",
IFERROR(SUMIFS(Basef[META],Basef[Promotor_Avine],$C$2,Basef[Fornecedor],"Pinheiro"),0),
IFERROR(SUMIFS(Basef[META],Basef[Promotor_Avine],$C$2,Basef[Fornecedor],"Pinheiro")+SUMIFS(Basef[META],Basef[Promotor_Cappellaro],$C$2,Basef[Fornecedor],"Pinheiro")+SUMIFS(Basef[META],Basef[Promotor_Pinheiro],$C$2,Basef[Fornecedor],"Pinheiro"),0))</f>
        <v>0</v>
      </c>
      <c r="C17" s="81"/>
      <c r="D17" s="85">
        <f>IF(VLOOKUP($C$2,Promotores[],19,0)="Geral",
IFERROR(SUMIFS(Basef[Tendencia],Basef[Promotor_Avine],$C$2,Basef[Fornecedor],"Pinheiro"),0),
IFERROR(SUMIFS(Basef[Tendencia],Basef[Promotor_Avine],$C$2,Basef[Fornecedor],"Pinheiro")+SUMIFS(Basef[Tendencia],Basef[Promotor_Cappellaro],$C$2,Basef[Fornecedor],"Pinheiro")+SUMIFS(Basef[Tendencia],Basef[Promotor_Pinheiro],$C$2,Basef[Fornecedor],"Pinheiro"),0))</f>
        <v>0</v>
      </c>
      <c r="E17" s="81"/>
      <c r="F17" s="86">
        <f>IFERROR(D17/B17,0)</f>
        <v>0</v>
      </c>
      <c r="G17" s="81"/>
      <c r="H17" s="85">
        <f>VLOOKUP($C$2,Promotores[],11,0)</f>
        <v>0</v>
      </c>
      <c r="I17" s="81"/>
      <c r="J17" s="244" t="s">
        <v>437</v>
      </c>
      <c r="K17" s="250"/>
      <c r="L17" s="126" t="str">
        <f>VLOOKUP($C$2,Promotores[],18,0)</f>
        <v/>
      </c>
    </row>
    <row r="18" spans="2:12" ht="12" customHeight="1" x14ac:dyDescent="0.45">
      <c r="B18" s="88" t="s">
        <v>93</v>
      </c>
      <c r="C18" s="89"/>
      <c r="D18" s="89" t="s">
        <v>93</v>
      </c>
      <c r="E18" s="81"/>
      <c r="F18" s="81"/>
      <c r="G18" s="81"/>
      <c r="H18" s="89" t="s">
        <v>93</v>
      </c>
      <c r="I18" s="81"/>
      <c r="J18" s="81"/>
      <c r="K18" s="81"/>
      <c r="L18" s="82"/>
    </row>
    <row r="19" spans="2:12" ht="24" thickBot="1" x14ac:dyDescent="0.5">
      <c r="B19" s="80" t="s">
        <v>325</v>
      </c>
      <c r="C19" s="84"/>
      <c r="D19" s="84" t="s">
        <v>326</v>
      </c>
      <c r="E19" s="84"/>
      <c r="F19" s="84" t="s">
        <v>317</v>
      </c>
      <c r="G19" s="84"/>
      <c r="H19" s="84" t="s">
        <v>321</v>
      </c>
      <c r="I19" s="81"/>
      <c r="J19" s="244"/>
      <c r="K19" s="244"/>
      <c r="L19" s="196"/>
    </row>
    <row r="20" spans="2:12" ht="24" thickBot="1" x14ac:dyDescent="0.5">
      <c r="B20" s="85">
        <f>IF(VLOOKUP($C$2,Promotores[],19,0)="Geral",
IFERROR(SUMIFS(Basef[META],Basef[Promotor_Avine],$C$2,Basef[Fornecedor],"Famosa"),0),
IFERROR(SUMIFS(Basef[META],Basef[Promotor_Avine],$C$2,Basef[Fornecedor],"Famosa")+SUMIFS(Basef[META],Basef[Promotor_Cappellaro],$C$2,Basef[Fornecedor],"Famosa"),0))</f>
        <v>0</v>
      </c>
      <c r="C20" s="81"/>
      <c r="D20" s="85">
        <f>IF(VLOOKUP($C$2,Promotores[],19,0)="Geral",
IFERROR(SUMIFS(Basef[Tendencia],Basef[Promotor_Avine],$C$2,Basef[Fornecedor],"Famosa"),0),
IFERROR(SUMIFS(Basef[Tendencia],Basef[Promotor_Avine],$C$2,Basef[Fornecedor],"Famosa")+SUMIFS(Basef[Tendencia],Basef[Promotor_Cappellaro],$C$2,Basef[Fornecedor],"Famosa"),0))</f>
        <v>0</v>
      </c>
      <c r="E20" s="81"/>
      <c r="F20" s="86">
        <f>IFERROR(D20/B20,0)</f>
        <v>0</v>
      </c>
      <c r="G20" s="81"/>
      <c r="H20" s="85">
        <f>VLOOKUP($C$2,Promotores[],9,0)</f>
        <v>0</v>
      </c>
      <c r="I20" s="81"/>
      <c r="J20" s="244"/>
      <c r="K20" s="244"/>
      <c r="L20" s="197"/>
    </row>
    <row r="21" spans="2:12" ht="12" customHeight="1" x14ac:dyDescent="0.45">
      <c r="B21" s="88" t="s">
        <v>0</v>
      </c>
      <c r="C21" s="89"/>
      <c r="D21" s="89" t="s">
        <v>0</v>
      </c>
      <c r="E21" s="81"/>
      <c r="F21" s="81"/>
      <c r="G21" s="81"/>
      <c r="H21" s="89" t="s">
        <v>0</v>
      </c>
      <c r="I21" s="81"/>
      <c r="J21" s="81"/>
      <c r="K21" s="81"/>
      <c r="L21" s="82"/>
    </row>
    <row r="22" spans="2:12" ht="24" thickBot="1" x14ac:dyDescent="0.5">
      <c r="B22" s="80" t="s">
        <v>94</v>
      </c>
      <c r="C22" s="84"/>
      <c r="D22" s="84" t="s">
        <v>330</v>
      </c>
      <c r="E22" s="84"/>
      <c r="F22" s="84" t="s">
        <v>317</v>
      </c>
      <c r="G22" s="81"/>
      <c r="H22" s="84" t="s">
        <v>321</v>
      </c>
      <c r="I22" s="81"/>
      <c r="J22" s="193"/>
      <c r="K22" s="193"/>
      <c r="L22" s="197"/>
    </row>
    <row r="23" spans="2:12" ht="24" thickBot="1" x14ac:dyDescent="0.5">
      <c r="B23" s="85">
        <f>D11</f>
        <v>0</v>
      </c>
      <c r="C23" s="91"/>
      <c r="D23" s="85">
        <f>IF(VLOOKUP($C$2,Promotores[],19,0)="Geral",
IFERROR(SUMIFS(Basef[Devolucao],Basef[Promotor_Avine],$C$2,Basef[Fornecedor],"Avine"),0),
IFERROR(SUMIFS(Basef[Devolucao],Basef[Promotor_Avine],$C$2,Basef[Fornecedor],"Avine")+SUMIFS(Basef[Devolucao],Basef[Promotor_Cappellaro],$C$2,Basef[Fornecedor],"Avine"),0))</f>
        <v>0</v>
      </c>
      <c r="E23" s="91"/>
      <c r="F23" s="92">
        <f>IFERROR(D23/B23,0)</f>
        <v>0</v>
      </c>
      <c r="G23" s="91"/>
      <c r="H23" s="85">
        <f>VLOOKUP($C$2,Promotores[],15,0)</f>
        <v>0</v>
      </c>
      <c r="I23" s="91"/>
      <c r="J23" s="91"/>
      <c r="K23" s="91"/>
      <c r="L23" s="192"/>
    </row>
  </sheetData>
  <mergeCells count="12">
    <mergeCell ref="J20:K20"/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19:K19"/>
  </mergeCells>
  <conditionalFormatting sqref="F11 L13 F14 F17">
    <cfRule type="cellIs" dxfId="229" priority="28" operator="greaterThanOrEqual">
      <formula>1</formula>
    </cfRule>
    <cfRule type="cellIs" dxfId="228" priority="29" operator="lessThan">
      <formula>0.9</formula>
    </cfRule>
    <cfRule type="cellIs" dxfId="227" priority="30" operator="between">
      <formula>0.9</formula>
      <formula>1</formula>
    </cfRule>
  </conditionalFormatting>
  <conditionalFormatting sqref="F20">
    <cfRule type="cellIs" dxfId="226" priority="9" operator="greaterThanOrEqual">
      <formula>1</formula>
    </cfRule>
    <cfRule type="cellIs" dxfId="225" priority="10" operator="lessThan">
      <formula>0.9</formula>
    </cfRule>
    <cfRule type="cellIs" dxfId="224" priority="11" operator="between">
      <formula>0.9</formula>
      <formula>1</formula>
    </cfRule>
    <cfRule type="cellIs" dxfId="223" priority="18" operator="greaterThan">
      <formula>0.015</formula>
    </cfRule>
    <cfRule type="cellIs" dxfId="222" priority="19" operator="lessThanOrEqual">
      <formula>0.015</formula>
    </cfRule>
  </conditionalFormatting>
  <conditionalFormatting sqref="F23">
    <cfRule type="cellIs" dxfId="221" priority="7" operator="greaterThan">
      <formula>0.015</formula>
    </cfRule>
    <cfRule type="cellIs" dxfId="220" priority="8" operator="lessThanOrEqual">
      <formula>0.015</formula>
    </cfRule>
  </conditionalFormatting>
  <conditionalFormatting sqref="L17">
    <cfRule type="cellIs" dxfId="219" priority="15" operator="between">
      <formula>0.9001</formula>
      <formula>0.9999</formula>
    </cfRule>
    <cfRule type="cellIs" dxfId="218" priority="16" operator="greaterThanOrEqual">
      <formula>1</formula>
    </cfRule>
    <cfRule type="cellIs" dxfId="217" priority="17" operator="lessThan">
      <formula>0.9</formula>
    </cfRule>
  </conditionalFormatting>
  <conditionalFormatting sqref="L19:L20">
    <cfRule type="cellIs" dxfId="216" priority="4" operator="between">
      <formula>0.9001</formula>
      <formula>0.9999</formula>
    </cfRule>
    <cfRule type="cellIs" dxfId="215" priority="5" operator="greaterThanOrEqual">
      <formula>1</formula>
    </cfRule>
    <cfRule type="cellIs" dxfId="214" priority="6" operator="lessThan">
      <formula>0.9</formula>
    </cfRule>
  </conditionalFormatting>
  <conditionalFormatting sqref="L22">
    <cfRule type="cellIs" dxfId="213" priority="1" operator="between">
      <formula>0.9001</formula>
      <formula>0.9999</formula>
    </cfRule>
    <cfRule type="cellIs" dxfId="212" priority="2" operator="greaterThanOrEqual">
      <formula>1</formula>
    </cfRule>
    <cfRule type="cellIs" dxfId="211" priority="3" operator="lessThan">
      <formula>0.9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46E30F-0082-4804-82D4-FBF06C5EE29C}">
          <x14:formula1>
            <xm:f>'Quadro Geral'!$A$8:$A$1040</xm:f>
          </x14:formula1>
          <xm:sqref>C2:D2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0170-4EC4-4A9C-ACF4-BD55AC17A14B}">
  <dimension ref="B2:L22"/>
  <sheetViews>
    <sheetView showGridLines="0" zoomScale="70" zoomScaleNormal="70" workbookViewId="0">
      <selection activeCell="C2" sqref="C2:D2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2" spans="2:12" ht="24" thickBot="1" x14ac:dyDescent="0.5">
      <c r="B2" s="144" t="s">
        <v>440</v>
      </c>
      <c r="C2" s="253" t="s">
        <v>557</v>
      </c>
      <c r="D2" s="254"/>
      <c r="E2" s="145"/>
      <c r="F2" s="145"/>
      <c r="G2" s="145"/>
      <c r="H2" s="146" t="s">
        <v>313</v>
      </c>
      <c r="I2" s="147" t="str">
        <f>'Quadro Geral'!F2</f>
        <v>AGO</v>
      </c>
      <c r="J2" s="145"/>
      <c r="K2" s="253" t="s">
        <v>314</v>
      </c>
      <c r="L2" s="255"/>
    </row>
    <row r="3" spans="2:12" ht="24" thickBot="1" x14ac:dyDescent="0.5">
      <c r="B3" s="148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56"/>
    </row>
    <row r="4" spans="2:12" ht="23.4" x14ac:dyDescent="0.45">
      <c r="B4" s="149"/>
      <c r="C4" s="81"/>
      <c r="D4" s="81"/>
      <c r="E4" s="81"/>
      <c r="F4" s="81"/>
      <c r="G4" s="81"/>
      <c r="H4" s="81"/>
      <c r="I4" s="81"/>
      <c r="J4" s="81"/>
      <c r="K4" s="81"/>
      <c r="L4" s="150"/>
    </row>
    <row r="5" spans="2:12" ht="23.4" x14ac:dyDescent="0.45">
      <c r="B5" s="149"/>
      <c r="C5" s="81"/>
      <c r="D5" s="81"/>
      <c r="E5" s="81"/>
      <c r="F5" s="81"/>
      <c r="G5" s="81"/>
      <c r="H5" s="81"/>
      <c r="I5" s="81"/>
      <c r="J5" s="81"/>
      <c r="K5" s="81"/>
      <c r="L5" s="150"/>
    </row>
    <row r="6" spans="2:12" ht="23.4" x14ac:dyDescent="0.45">
      <c r="B6" s="149"/>
      <c r="C6" s="81"/>
      <c r="D6" s="81"/>
      <c r="E6" s="81"/>
      <c r="F6" s="81"/>
      <c r="G6" s="81"/>
      <c r="H6" s="81"/>
      <c r="I6" s="81"/>
      <c r="J6" s="81"/>
      <c r="K6" s="81"/>
      <c r="L6" s="150"/>
    </row>
    <row r="7" spans="2:12" ht="26.4" thickBot="1" x14ac:dyDescent="0.55000000000000004">
      <c r="B7" s="178" t="s">
        <v>315</v>
      </c>
      <c r="C7" s="84"/>
      <c r="D7" s="84" t="s">
        <v>556</v>
      </c>
      <c r="E7" s="84"/>
      <c r="F7" s="178" t="s">
        <v>317</v>
      </c>
      <c r="G7" s="84"/>
      <c r="H7" s="84" t="s">
        <v>58</v>
      </c>
      <c r="I7" s="81"/>
      <c r="J7" s="237" t="s">
        <v>318</v>
      </c>
      <c r="K7" s="237"/>
      <c r="L7" s="257"/>
    </row>
    <row r="8" spans="2:12" ht="26.4" thickBot="1" x14ac:dyDescent="0.55000000000000004">
      <c r="B8" s="179" t="e">
        <f>SUM(B11,B14,B17)</f>
        <v>#REF!</v>
      </c>
      <c r="C8" s="81"/>
      <c r="D8" s="85">
        <f>VLOOKUP($C$2,Promotores[[Promotor]:[Sell Out]],2,0)</f>
        <v>0</v>
      </c>
      <c r="E8" s="81"/>
      <c r="F8" s="180">
        <f>IFERROR(D8/B8,0)</f>
        <v>0</v>
      </c>
      <c r="G8" s="81"/>
      <c r="H8" s="87" t="str">
        <f>VLOOKUP($C$2,Promotores[],3,0)</f>
        <v>C</v>
      </c>
      <c r="I8" s="81"/>
      <c r="J8" s="247" t="e">
        <f>VLOOKUP(C2,'Quadro Geral'!$A$8:$P$84,18,0)</f>
        <v>#REF!</v>
      </c>
      <c r="K8" s="240"/>
      <c r="L8" s="241"/>
    </row>
    <row r="9" spans="2:12" ht="20.25" customHeight="1" x14ac:dyDescent="0.45">
      <c r="B9" s="152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150"/>
    </row>
    <row r="10" spans="2:12" ht="24" thickBot="1" x14ac:dyDescent="0.5">
      <c r="B10" s="148" t="s">
        <v>327</v>
      </c>
      <c r="C10" s="84"/>
      <c r="D10" s="84" t="s">
        <v>328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58"/>
    </row>
    <row r="11" spans="2:12" ht="24" thickBot="1" x14ac:dyDescent="0.5">
      <c r="B11" s="151">
        <v>34000</v>
      </c>
      <c r="C11" s="81"/>
      <c r="D11" s="85">
        <v>22142.38</v>
      </c>
      <c r="E11" s="81"/>
      <c r="F11" s="86">
        <f>IFERROR(D11/B11,0)</f>
        <v>0.65124647058823537</v>
      </c>
      <c r="G11" s="81"/>
      <c r="H11" s="85">
        <f>VLOOKUP($C$2,Promotores[],5,0)</f>
        <v>0</v>
      </c>
      <c r="I11" s="81"/>
      <c r="J11" s="81"/>
      <c r="K11" s="81"/>
      <c r="L11" s="150"/>
    </row>
    <row r="12" spans="2:12" ht="12" customHeight="1" thickBot="1" x14ac:dyDescent="0.5">
      <c r="B12" s="152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150"/>
    </row>
    <row r="13" spans="2:12" ht="24" thickBot="1" x14ac:dyDescent="0.5">
      <c r="B13" s="148" t="s">
        <v>567</v>
      </c>
      <c r="C13" s="84"/>
      <c r="D13" s="84" t="s">
        <v>568</v>
      </c>
      <c r="E13" s="178"/>
      <c r="F13" s="84" t="s">
        <v>317</v>
      </c>
      <c r="G13" s="178"/>
      <c r="H13" s="84" t="s">
        <v>321</v>
      </c>
      <c r="I13" s="81"/>
      <c r="J13" s="244" t="s">
        <v>324</v>
      </c>
      <c r="K13" s="244"/>
      <c r="L13" s="153">
        <f>'Quadro Geral'!H2</f>
        <v>0.78906184341036245</v>
      </c>
    </row>
    <row r="14" spans="2:12" ht="24" thickBot="1" x14ac:dyDescent="0.5">
      <c r="B14" s="151">
        <v>19000</v>
      </c>
      <c r="C14" s="81"/>
      <c r="D14" s="85">
        <v>16502.52</v>
      </c>
      <c r="E14" s="89"/>
      <c r="F14" s="86">
        <f>IFERROR(D14/B14,0)</f>
        <v>0.86855368421052637</v>
      </c>
      <c r="G14" s="89"/>
      <c r="H14" s="85">
        <f>VLOOKUP($C$2,Promotores[],5,0)</f>
        <v>0</v>
      </c>
      <c r="I14" s="81"/>
      <c r="J14" s="244" t="s">
        <v>321</v>
      </c>
      <c r="K14" s="244"/>
      <c r="L14" s="154">
        <f>VLOOKUP($C$2,Promotores[],14,0)</f>
        <v>0</v>
      </c>
    </row>
    <row r="15" spans="2:12" ht="12" customHeight="1" thickBot="1" x14ac:dyDescent="0.5">
      <c r="B15" s="89" t="s">
        <v>93</v>
      </c>
      <c r="C15" s="89"/>
      <c r="D15" s="89" t="s">
        <v>93</v>
      </c>
      <c r="E15" s="89"/>
      <c r="F15" s="189"/>
      <c r="G15" s="89"/>
      <c r="H15" s="89" t="s">
        <v>93</v>
      </c>
      <c r="I15" s="81"/>
      <c r="J15" s="81"/>
      <c r="K15" s="81"/>
      <c r="L15" s="150"/>
    </row>
    <row r="16" spans="2:12" ht="24" thickBot="1" x14ac:dyDescent="0.5">
      <c r="B16" s="178" t="s">
        <v>325</v>
      </c>
      <c r="C16" s="178"/>
      <c r="D16" s="178" t="s">
        <v>326</v>
      </c>
      <c r="E16" s="178"/>
      <c r="F16" s="190"/>
      <c r="G16" s="178"/>
      <c r="H16" s="178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179" t="e">
        <f>IF(VLOOKUP($C$2,Promotores[],22,0)="Geral",
IFERROR(SUMIFS(Basef[META],Basef[Promotor_Avine],$C$2,Basef[Fornecedor],"Famosa"),0),
IFERROR(SUMIFS(Basef[META],Basef[Promotor_Avine],$C$2,Basef[Fornecedor],"Famosa")+SUMIFS(Basef[META],Basef[Promotor_Cappellaro],$C$2,Basef[Fornecedor],"Famosa"),0))</f>
        <v>#REF!</v>
      </c>
      <c r="C17" s="89"/>
      <c r="D17" s="179" t="e">
        <f>IF(VLOOKUP($C$2,Promotores[],22,0)="Geral",
IFERROR(SUMIFS(Basef[Tendencia],Basef[Promotor_Avine],$C$2,Basef[Fornecedor],"Famosa"),0),
IFERROR(SUMIFS(Basef[Tendencia],Basef[Promotor_Avine],$C$2,Basef[Fornecedor],"Famosa")+SUMIFS(Basef[Tendencia],Basef[Promotor_Cappellaro],$C$2,Basef[Fornecedor],"Famosa"),0))</f>
        <v>#REF!</v>
      </c>
      <c r="E17" s="89"/>
      <c r="F17" s="188"/>
      <c r="G17" s="89"/>
      <c r="H17" s="179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152" t="s">
        <v>0</v>
      </c>
      <c r="C18" s="89"/>
      <c r="D18" s="89" t="s">
        <v>0</v>
      </c>
      <c r="E18" s="81"/>
      <c r="F18" s="191"/>
      <c r="G18" s="81"/>
      <c r="H18" s="89" t="s">
        <v>0</v>
      </c>
      <c r="I18" s="81"/>
      <c r="J18" s="81"/>
      <c r="K18" s="81"/>
      <c r="L18" s="150"/>
    </row>
    <row r="19" spans="2:12" ht="24" thickBot="1" x14ac:dyDescent="0.5">
      <c r="B19" s="148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3.4" x14ac:dyDescent="0.45">
      <c r="B20" s="155">
        <f>D11</f>
        <v>22142.38</v>
      </c>
      <c r="C20" s="156"/>
      <c r="D20" s="157" t="e">
        <f>IF(VLOOKUP($C$2,Promotores[],22,0)="Geral",
IFERROR(SUMIFS(Basef[Devolucao],Basef[Promotor_Avine],$C$2,Basef[Fornecedor],"Avine"),0),
IFERROR(SUMIFS(Basef[Devolucao],Basef[Promotor_Avine],$C$2,Basef[Fornecedor],"Avine")+SUMIFS(Basef[Devolucao],Basef[Promotor_Cappellaro],$C$2,Basef[Fornecedor],"Avine"),0))</f>
        <v>#REF!</v>
      </c>
      <c r="E20" s="156"/>
      <c r="F20" s="158">
        <f>IFERROR(D20/B20,0)</f>
        <v>0</v>
      </c>
      <c r="G20" s="156"/>
      <c r="H20" s="157" t="str">
        <f>VLOOKUP($C$2,Promotores[],17,0)</f>
        <v>Vago</v>
      </c>
      <c r="I20" s="156"/>
      <c r="J20" s="251"/>
      <c r="K20" s="251"/>
      <c r="L20" s="252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C2:D2"/>
    <mergeCell ref="K2:L2"/>
    <mergeCell ref="K3:L3"/>
    <mergeCell ref="J7:L7"/>
    <mergeCell ref="J8:L8"/>
    <mergeCell ref="J10:L10"/>
    <mergeCell ref="J13:K13"/>
    <mergeCell ref="J14:K14"/>
    <mergeCell ref="J16:K16"/>
    <mergeCell ref="J17:K17"/>
    <mergeCell ref="J19:K19"/>
  </mergeCells>
  <conditionalFormatting sqref="F11 L13">
    <cfRule type="cellIs" dxfId="210" priority="15" operator="greaterThanOrEqual">
      <formula>1</formula>
    </cfRule>
    <cfRule type="cellIs" dxfId="209" priority="16" operator="lessThan">
      <formula>0.9</formula>
    </cfRule>
    <cfRule type="cellIs" dxfId="208" priority="17" operator="between">
      <formula>0.9</formula>
      <formula>1</formula>
    </cfRule>
  </conditionalFormatting>
  <conditionalFormatting sqref="F14">
    <cfRule type="cellIs" dxfId="207" priority="1" operator="greaterThanOrEqual">
      <formula>1</formula>
    </cfRule>
    <cfRule type="cellIs" dxfId="206" priority="2" operator="lessThan">
      <formula>0.9</formula>
    </cfRule>
    <cfRule type="cellIs" dxfId="205" priority="3" operator="between">
      <formula>0.9</formula>
      <formula>1</formula>
    </cfRule>
  </conditionalFormatting>
  <conditionalFormatting sqref="F20">
    <cfRule type="cellIs" dxfId="204" priority="13" operator="greaterThan">
      <formula>0.015</formula>
    </cfRule>
    <cfRule type="cellIs" dxfId="203" priority="14" operator="lessThanOrEqual">
      <formula>0.015</formula>
    </cfRule>
  </conditionalFormatting>
  <conditionalFormatting sqref="L17">
    <cfRule type="cellIs" dxfId="202" priority="10" operator="between">
      <formula>0.9001</formula>
      <formula>0.9999</formula>
    </cfRule>
    <cfRule type="cellIs" dxfId="201" priority="11" operator="greaterThanOrEqual">
      <formula>1</formula>
    </cfRule>
    <cfRule type="cellIs" dxfId="200" priority="12" operator="lessThan">
      <formula>0.9</formula>
    </cfRule>
  </conditionalFormatting>
  <conditionalFormatting sqref="L19">
    <cfRule type="cellIs" dxfId="199" priority="7" operator="between">
      <formula>0.9001</formula>
      <formula>0.9999</formula>
    </cfRule>
    <cfRule type="cellIs" dxfId="198" priority="8" operator="greaterThanOrEqual">
      <formula>1</formula>
    </cfRule>
    <cfRule type="cellIs" dxfId="197" priority="9" operator="lessThan">
      <formula>0.9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59182F-6497-4C9A-A693-66946471FC20}">
          <x14:formula1>
            <xm:f>'Quadro Geral'!$A$7:$A$54</xm:f>
          </x14:formula1>
          <xm:sqref>C2:D2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2238-F6DC-41B5-BCC8-6ADC34A921D2}">
  <dimension ref="B2:L22"/>
  <sheetViews>
    <sheetView showGridLines="0" zoomScale="70" zoomScaleNormal="70" workbookViewId="0">
      <selection activeCell="N18" sqref="N1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3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2" spans="2:12" ht="24" thickBot="1" x14ac:dyDescent="0.5">
      <c r="B2" s="144" t="s">
        <v>440</v>
      </c>
      <c r="C2" s="253" t="s">
        <v>547</v>
      </c>
      <c r="D2" s="254"/>
      <c r="E2" s="145"/>
      <c r="F2" s="145"/>
      <c r="G2" s="145"/>
      <c r="H2" s="146" t="s">
        <v>313</v>
      </c>
      <c r="I2" s="147" t="str">
        <f>'Quadro Geral'!F2</f>
        <v>AGO</v>
      </c>
      <c r="J2" s="145"/>
      <c r="K2" s="253" t="s">
        <v>314</v>
      </c>
      <c r="L2" s="255"/>
    </row>
    <row r="3" spans="2:12" ht="24" thickBot="1" x14ac:dyDescent="0.5">
      <c r="B3" s="148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56"/>
    </row>
    <row r="4" spans="2:12" ht="23.4" x14ac:dyDescent="0.45">
      <c r="B4" s="149"/>
      <c r="C4" s="81"/>
      <c r="D4" s="81"/>
      <c r="E4" s="81"/>
      <c r="F4" s="81"/>
      <c r="G4" s="81"/>
      <c r="H4" s="81"/>
      <c r="I4" s="81"/>
      <c r="J4" s="81"/>
      <c r="K4" s="81"/>
      <c r="L4" s="150"/>
    </row>
    <row r="5" spans="2:12" ht="23.4" x14ac:dyDescent="0.45">
      <c r="B5" s="149"/>
      <c r="C5" s="81"/>
      <c r="D5" s="81"/>
      <c r="E5" s="81"/>
      <c r="F5" s="81"/>
      <c r="G5" s="81"/>
      <c r="H5" s="81"/>
      <c r="I5" s="81"/>
      <c r="J5" s="81"/>
      <c r="K5" s="81"/>
      <c r="L5" s="150"/>
    </row>
    <row r="6" spans="2:12" ht="23.4" x14ac:dyDescent="0.45">
      <c r="B6" s="149"/>
      <c r="C6" s="81"/>
      <c r="D6" s="81"/>
      <c r="E6" s="81"/>
      <c r="F6" s="81"/>
      <c r="G6" s="81"/>
      <c r="H6" s="81"/>
      <c r="I6" s="81"/>
      <c r="J6" s="81"/>
      <c r="K6" s="81"/>
      <c r="L6" s="150"/>
    </row>
    <row r="7" spans="2:12" ht="26.4" thickBot="1" x14ac:dyDescent="0.55000000000000004">
      <c r="B7" s="178" t="s">
        <v>315</v>
      </c>
      <c r="C7" s="84"/>
      <c r="D7" s="84" t="s">
        <v>556</v>
      </c>
      <c r="E7" s="84"/>
      <c r="F7" s="178" t="s">
        <v>317</v>
      </c>
      <c r="G7" s="84"/>
      <c r="H7" s="84" t="s">
        <v>58</v>
      </c>
      <c r="I7" s="81"/>
      <c r="J7" s="237" t="s">
        <v>318</v>
      </c>
      <c r="K7" s="237"/>
      <c r="L7" s="257"/>
    </row>
    <row r="8" spans="2:12" ht="26.4" thickBot="1" x14ac:dyDescent="0.55000000000000004">
      <c r="B8" s="179" t="e">
        <f>SUM(B11,B14,B17)</f>
        <v>#REF!</v>
      </c>
      <c r="C8" s="81"/>
      <c r="D8" s="85">
        <f>VLOOKUP($C$2,Promotores[[Promotor]:[Sell Out]],2,0)</f>
        <v>0</v>
      </c>
      <c r="E8" s="81"/>
      <c r="F8" s="180">
        <f>IFERROR(D8/B8,0)</f>
        <v>0</v>
      </c>
      <c r="G8" s="81"/>
      <c r="H8" s="87" t="str">
        <f>VLOOKUP($C$2,Promotores[],3,0)</f>
        <v>C</v>
      </c>
      <c r="I8" s="81"/>
      <c r="J8" s="247">
        <f>VLOOKUP(C2,'Quadro Geral'!$A$8:$P$84,16,0)</f>
        <v>0</v>
      </c>
      <c r="K8" s="240"/>
      <c r="L8" s="241"/>
    </row>
    <row r="9" spans="2:12" ht="20.25" customHeight="1" x14ac:dyDescent="0.45">
      <c r="B9" s="152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150"/>
    </row>
    <row r="10" spans="2:12" ht="24" thickBot="1" x14ac:dyDescent="0.5">
      <c r="B10" s="148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58"/>
    </row>
    <row r="11" spans="2:12" ht="24" thickBot="1" x14ac:dyDescent="0.5">
      <c r="B11" s="151" t="e">
        <f>IF(VLOOKUP($C$2,Promotores[],20,0)="Geral",
IFERROR(SUMIFS(Basef[META],Basef[Promotor_Avine],$C$2,Basef[Fornecedor],"Avine"),0),
IFERROR(SUMIFS(Basef[META],Basef[Promotor_Avine],$C$2,Basef[Fornecedor],"Avine")+SUMIFS(Basef[META],Basef[Promotor_Cappellaro],$C$2,Basef[Fornecedor],"Avine"),0))</f>
        <v>#REF!</v>
      </c>
      <c r="C11" s="81"/>
      <c r="D11" s="85" t="e">
        <f>IF(VLOOKUP($C$2,Promotores[],20,0)="Geral",
IFERROR(SUMIFS(Basef[Tendencia],Basef[Promotor_Avine],$C$2,Basef[Fornecedor],"Avine"),0),
IFERROR(SUMIFS(Basef[Tendencia],Basef[Promotor_Avine],$C$2,Basef[Fornecedor],"Avine")+SUMIFS(Basef[Tendencia],Basef[Promotor_Cappellaro],$C$2,Basef[Fornecedor],"Avine"),0))</f>
        <v>#REF!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150"/>
    </row>
    <row r="12" spans="2:12" ht="12" customHeight="1" thickBot="1" x14ac:dyDescent="0.5">
      <c r="B12" s="152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150"/>
    </row>
    <row r="13" spans="2:12" ht="24" thickBot="1" x14ac:dyDescent="0.5">
      <c r="B13" s="148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153">
        <f>'Quadro Geral'!H2</f>
        <v>0.78906184341036245</v>
      </c>
    </row>
    <row r="14" spans="2:12" ht="24" thickBot="1" x14ac:dyDescent="0.5">
      <c r="B14" s="151" t="e">
        <f>IF(VLOOKUP($C$2,Promotores[],20,0)="Geral",
IFERROR(SUMIFS(Basef[META],Basef[Promotor_Avine],$C$2,Basef[Fornecedor],"Cappellaro"),0),
IFERROR(SUMIFS(Basef[META],Basef[Promotor_Avine],$C$2,Basef[Fornecedor],"Cappellaro")+SUMIFS(Basef[META],Basef[Promotor_Cappellaro],$C$2,Basef[Fornecedor],"Cappellaro"),0))</f>
        <v>#REF!</v>
      </c>
      <c r="C14" s="81"/>
      <c r="D14" s="85" t="e">
        <f>IF(VLOOKUP($C$2,Promotores[],20,0)="Geral",
IFERROR(SUMIFS(Basef[Tendencia],Basef[Promotor_Avine],$C$2,Basef[Fornecedor],"Cappellaro"),0),
IFERROR(SUMIFS(Basef[Tendencia],Basef[Promotor_Avine],$C$2,Basef[Fornecedor],"Cappellaro")+SUMIFS(Basef[Tendencia],Basef[Promotor_Cappellaro],$C$2,Basef[Fornecedor],"Cappellaro"),0))</f>
        <v>#REF!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154">
        <f>VLOOKUP($C$2,Promotores[],14,0)</f>
        <v>0</v>
      </c>
    </row>
    <row r="15" spans="2:12" ht="12" customHeight="1" thickBot="1" x14ac:dyDescent="0.5">
      <c r="B15" s="152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150"/>
    </row>
    <row r="16" spans="2:12" ht="24" thickBot="1" x14ac:dyDescent="0.5">
      <c r="B16" s="148" t="s">
        <v>569</v>
      </c>
      <c r="C16" s="84"/>
      <c r="D16" s="84" t="s">
        <v>570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151">
        <v>3000</v>
      </c>
      <c r="C17" s="81"/>
      <c r="D17" s="85">
        <v>4527</v>
      </c>
      <c r="E17" s="81"/>
      <c r="F17" s="86">
        <f>IFERROR(D17/B17,0)</f>
        <v>1.5089999999999999</v>
      </c>
      <c r="G17" s="81"/>
      <c r="H17" s="85">
        <v>125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152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150"/>
    </row>
    <row r="19" spans="2:12" ht="24" thickBot="1" x14ac:dyDescent="0.5">
      <c r="B19" s="148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str">
        <f>VLOOKUP($C$2,Promotores[],19,0)</f>
        <v/>
      </c>
    </row>
    <row r="20" spans="2:12" ht="23.4" x14ac:dyDescent="0.45">
      <c r="B20" s="155" t="e">
        <f>D11</f>
        <v>#REF!</v>
      </c>
      <c r="C20" s="156"/>
      <c r="D20" s="157" t="e">
        <f>IF(VLOOKUP($C$2,Promotores[],20,0)="Geral",
IFERROR(SUMIFS(Basef[Devolucao],Basef[Promotor_Avine],$C$2,Basef[Fornecedor],"Avine"),0),
IFERROR(SUMIFS(Basef[Devolucao],Basef[Promotor_Avine],$C$2,Basef[Fornecedor],"Avine")+SUMIFS(Basef[Devolucao],Basef[Promotor_Cappellaro],$C$2,Basef[Fornecedor],"Avine"),0))</f>
        <v>#REF!</v>
      </c>
      <c r="E20" s="156"/>
      <c r="F20" s="158">
        <f>IFERROR(D20/B20,0)</f>
        <v>0</v>
      </c>
      <c r="G20" s="156"/>
      <c r="H20" s="157">
        <f>VLOOKUP($C$2,Promotores[],15,0)</f>
        <v>0</v>
      </c>
      <c r="I20" s="156"/>
      <c r="J20" s="251"/>
      <c r="K20" s="251"/>
      <c r="L20" s="252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C2:D2"/>
    <mergeCell ref="K2:L2"/>
    <mergeCell ref="K3:L3"/>
    <mergeCell ref="J7:L7"/>
    <mergeCell ref="J8:L8"/>
    <mergeCell ref="J10:L10"/>
    <mergeCell ref="J13:K13"/>
    <mergeCell ref="J14:K14"/>
    <mergeCell ref="J16:K16"/>
    <mergeCell ref="J17:K17"/>
    <mergeCell ref="J19:K19"/>
  </mergeCells>
  <conditionalFormatting sqref="F11 L13 F14 F17">
    <cfRule type="cellIs" dxfId="196" priority="9" operator="greaterThanOrEqual">
      <formula>1</formula>
    </cfRule>
    <cfRule type="cellIs" dxfId="195" priority="10" operator="lessThan">
      <formula>0.9</formula>
    </cfRule>
    <cfRule type="cellIs" dxfId="194" priority="11" operator="between">
      <formula>0.9</formula>
      <formula>1</formula>
    </cfRule>
  </conditionalFormatting>
  <conditionalFormatting sqref="F20">
    <cfRule type="cellIs" dxfId="193" priority="7" operator="greaterThan">
      <formula>0.015</formula>
    </cfRule>
    <cfRule type="cellIs" dxfId="192" priority="8" operator="lessThanOrEqual">
      <formula>0.015</formula>
    </cfRule>
  </conditionalFormatting>
  <conditionalFormatting sqref="L17">
    <cfRule type="cellIs" dxfId="191" priority="4" operator="between">
      <formula>0.9001</formula>
      <formula>0.9999</formula>
    </cfRule>
    <cfRule type="cellIs" dxfId="190" priority="5" operator="greaterThanOrEqual">
      <formula>1</formula>
    </cfRule>
    <cfRule type="cellIs" dxfId="189" priority="6" operator="lessThan">
      <formula>0.9</formula>
    </cfRule>
  </conditionalFormatting>
  <conditionalFormatting sqref="L19">
    <cfRule type="cellIs" dxfId="188" priority="1" operator="between">
      <formula>0.9001</formula>
      <formula>0.9999</formula>
    </cfRule>
    <cfRule type="cellIs" dxfId="187" priority="2" operator="greaterThanOrEqual">
      <formula>1</formula>
    </cfRule>
    <cfRule type="cellIs" dxfId="186" priority="3" operator="lessThan">
      <formula>0.9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8732C4-FFFC-4C00-B82C-EB7F013BD85D}">
          <x14:formula1>
            <xm:f>'Quadro Geral'!$A$7:$A$54</xm:f>
          </x14:formula1>
          <xm:sqref>C2:D2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3BA6-2705-4FE8-AEE5-1B2E4BBD2525}">
  <dimension ref="B1:M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475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A+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5.7947261317583508E-3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225</v>
      </c>
    </row>
    <row r="17" spans="2:13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100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3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3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3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São Luís</v>
      </c>
      <c r="I20" s="91"/>
      <c r="J20" s="235"/>
      <c r="K20" s="235"/>
      <c r="L20" s="236"/>
    </row>
    <row r="21" spans="2:13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  <c r="M21" s="81"/>
    </row>
    <row r="22" spans="2:13" ht="23.4" x14ac:dyDescent="0.45">
      <c r="I22" s="81"/>
      <c r="J22" s="81"/>
      <c r="K22" s="81"/>
      <c r="L22" s="81"/>
      <c r="M22" s="81"/>
    </row>
  </sheetData>
  <mergeCells count="12">
    <mergeCell ref="J13:K13"/>
    <mergeCell ref="J14:K14"/>
    <mergeCell ref="J16:K16"/>
    <mergeCell ref="J17:K17"/>
    <mergeCell ref="J20:L20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85" priority="11" operator="greaterThanOrEqual">
      <formula>1</formula>
    </cfRule>
    <cfRule type="cellIs" dxfId="184" priority="12" operator="lessThan">
      <formula>0.9</formula>
    </cfRule>
    <cfRule type="cellIs" dxfId="183" priority="13" operator="between">
      <formula>0.9</formula>
      <formula>1</formula>
    </cfRule>
  </conditionalFormatting>
  <conditionalFormatting sqref="F20">
    <cfRule type="cellIs" dxfId="182" priority="1" operator="greaterThan">
      <formula>0.015</formula>
    </cfRule>
    <cfRule type="cellIs" dxfId="181" priority="2" operator="lessThanOrEqual">
      <formula>0.015</formula>
    </cfRule>
  </conditionalFormatting>
  <conditionalFormatting sqref="L17 L19">
    <cfRule type="cellIs" dxfId="180" priority="3" operator="between">
      <formula>0.9001</formula>
      <formula>0.9999</formula>
    </cfRule>
    <cfRule type="cellIs" dxfId="179" priority="4" operator="greaterThanOrEqual">
      <formula>1</formula>
    </cfRule>
    <cfRule type="cellIs" dxfId="178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3532-BECD-4CF6-BD6C-A3BBCFAC1304}">
  <dimension ref="B1:L23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377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45" t="s">
        <v>318</v>
      </c>
      <c r="K7" s="245"/>
      <c r="L7" s="246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50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50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50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50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50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hidden="1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2"/>
    </row>
    <row r="22" spans="2:12" ht="24" hidden="1" thickBot="1" x14ac:dyDescent="0.5">
      <c r="B22" s="80" t="s">
        <v>94</v>
      </c>
      <c r="C22" s="84"/>
      <c r="D22" s="84" t="s">
        <v>330</v>
      </c>
      <c r="E22" s="84"/>
      <c r="F22" s="84" t="s">
        <v>317</v>
      </c>
      <c r="G22" s="81"/>
      <c r="H22" s="84" t="s">
        <v>321</v>
      </c>
      <c r="I22" s="81"/>
      <c r="J22" s="81"/>
      <c r="K22" s="81"/>
      <c r="L22" s="82"/>
    </row>
    <row r="23" spans="2:12" ht="24" hidden="1" thickBot="1" x14ac:dyDescent="0.5">
      <c r="B23" s="85">
        <f>IFERROR(VLOOKUP(C2,#REF!,2,0),0)</f>
        <v>0</v>
      </c>
      <c r="C23" s="91"/>
      <c r="D23" s="85">
        <f>IFERROR(VLOOKUP(C2,#REF!,6,0),0)</f>
        <v>0</v>
      </c>
      <c r="E23" s="91"/>
      <c r="F23" s="92">
        <f>IFERROR(D23/B23,0)</f>
        <v>0</v>
      </c>
      <c r="G23" s="91"/>
      <c r="H23" s="85" t="str">
        <f>VLOOKUP($C$2,Promotores[],17,0)</f>
        <v>Vago</v>
      </c>
      <c r="I23" s="91"/>
      <c r="J23" s="235"/>
      <c r="K23" s="235"/>
      <c r="L23" s="236"/>
    </row>
  </sheetData>
  <mergeCells count="13">
    <mergeCell ref="J13:K13"/>
    <mergeCell ref="J14:K14"/>
    <mergeCell ref="J16:K16"/>
    <mergeCell ref="J17:K17"/>
    <mergeCell ref="J23:L23"/>
    <mergeCell ref="J19:K19"/>
    <mergeCell ref="J20:L20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77" priority="6" operator="greaterThanOrEqual">
      <formula>1</formula>
    </cfRule>
    <cfRule type="cellIs" dxfId="176" priority="7" operator="lessThan">
      <formula>0.9</formula>
    </cfRule>
    <cfRule type="cellIs" dxfId="175" priority="8" operator="between">
      <formula>0.9</formula>
      <formula>1</formula>
    </cfRule>
  </conditionalFormatting>
  <conditionalFormatting sqref="F20">
    <cfRule type="cellIs" dxfId="174" priority="1" operator="greaterThan">
      <formula>0.015</formula>
    </cfRule>
    <cfRule type="cellIs" dxfId="173" priority="2" operator="lessThanOrEqual">
      <formula>0.015</formula>
    </cfRule>
  </conditionalFormatting>
  <conditionalFormatting sqref="F23">
    <cfRule type="cellIs" dxfId="172" priority="9" operator="greaterThan">
      <formula>0.015</formula>
    </cfRule>
    <cfRule type="cellIs" dxfId="171" priority="10" operator="lessThanOrEqual">
      <formula>0.015</formula>
    </cfRule>
  </conditionalFormatting>
  <conditionalFormatting sqref="L17 L19">
    <cfRule type="cellIs" dxfId="170" priority="3" operator="between">
      <formula>0.9001</formula>
      <formula>0.9999</formula>
    </cfRule>
    <cfRule type="cellIs" dxfId="169" priority="4" operator="greaterThanOrEqual">
      <formula>1</formula>
    </cfRule>
    <cfRule type="cellIs" dxfId="168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2538-A85D-4520-BBDD-A3EAA9E708EA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331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1.6299433380086138E-2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100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Pará Sul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67" priority="6" operator="greaterThanOrEqual">
      <formula>1</formula>
    </cfRule>
    <cfRule type="cellIs" dxfId="166" priority="7" operator="lessThan">
      <formula>0.9</formula>
    </cfRule>
    <cfRule type="cellIs" dxfId="165" priority="8" operator="between">
      <formula>0.9</formula>
      <formula>1</formula>
    </cfRule>
  </conditionalFormatting>
  <conditionalFormatting sqref="F20">
    <cfRule type="cellIs" dxfId="164" priority="1" operator="greaterThan">
      <formula>0.015</formula>
    </cfRule>
    <cfRule type="cellIs" dxfId="163" priority="2" operator="lessThanOrEqual">
      <formula>0.015</formula>
    </cfRule>
  </conditionalFormatting>
  <conditionalFormatting sqref="L17 L19">
    <cfRule type="cellIs" dxfId="162" priority="3" operator="between">
      <formula>0.9001</formula>
      <formula>0.9999</formula>
    </cfRule>
    <cfRule type="cellIs" dxfId="161" priority="4" operator="greaterThanOrEqual">
      <formula>1</formula>
    </cfRule>
    <cfRule type="cellIs" dxfId="160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4C4C-1C7B-4DE8-8E84-93E73C1646AE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332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59" priority="6" operator="greaterThanOrEqual">
      <formula>1</formula>
    </cfRule>
    <cfRule type="cellIs" dxfId="158" priority="7" operator="lessThan">
      <formula>0.9</formula>
    </cfRule>
    <cfRule type="cellIs" dxfId="157" priority="8" operator="between">
      <formula>0.9</formula>
      <formula>1</formula>
    </cfRule>
  </conditionalFormatting>
  <conditionalFormatting sqref="F20">
    <cfRule type="cellIs" dxfId="156" priority="1" operator="greaterThan">
      <formula>0.015</formula>
    </cfRule>
    <cfRule type="cellIs" dxfId="155" priority="2" operator="lessThanOrEqual">
      <formula>0.015</formula>
    </cfRule>
  </conditionalFormatting>
  <conditionalFormatting sqref="L17 L19">
    <cfRule type="cellIs" dxfId="154" priority="3" operator="between">
      <formula>0.9001</formula>
      <formula>0.9999</formula>
    </cfRule>
    <cfRule type="cellIs" dxfId="153" priority="4" operator="greaterThanOrEqual">
      <formula>1</formula>
    </cfRule>
    <cfRule type="cellIs" dxfId="152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31D6-5882-416C-AB10-64F533E0D4E2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428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A+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100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1.1626239654094813E-2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225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São Luís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19:K19"/>
  </mergeCells>
  <conditionalFormatting sqref="F8 F11 L13 F14 F17">
    <cfRule type="cellIs" dxfId="151" priority="6" operator="greaterThanOrEqual">
      <formula>1</formula>
    </cfRule>
    <cfRule type="cellIs" dxfId="150" priority="7" operator="lessThan">
      <formula>0.9</formula>
    </cfRule>
    <cfRule type="cellIs" dxfId="149" priority="8" operator="between">
      <formula>0.9</formula>
      <formula>1</formula>
    </cfRule>
  </conditionalFormatting>
  <conditionalFormatting sqref="F20">
    <cfRule type="cellIs" dxfId="148" priority="1" operator="greaterThan">
      <formula>0.015</formula>
    </cfRule>
    <cfRule type="cellIs" dxfId="147" priority="2" operator="lessThanOrEqual">
      <formula>0.015</formula>
    </cfRule>
  </conditionalFormatting>
  <conditionalFormatting sqref="L17 L19">
    <cfRule type="cellIs" dxfId="146" priority="3" operator="between">
      <formula>0.9001</formula>
      <formula>0.9999</formula>
    </cfRule>
    <cfRule type="cellIs" dxfId="145" priority="4" operator="greaterThanOrEqual">
      <formula>1</formula>
    </cfRule>
    <cfRule type="cellIs" dxfId="144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AB0F-8519-46F3-AB70-1DC24CBF52B3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418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43" priority="6" operator="greaterThanOrEqual">
      <formula>1</formula>
    </cfRule>
    <cfRule type="cellIs" dxfId="142" priority="7" operator="lessThan">
      <formula>0.9</formula>
    </cfRule>
    <cfRule type="cellIs" dxfId="141" priority="8" operator="between">
      <formula>0.9</formula>
      <formula>1</formula>
    </cfRule>
  </conditionalFormatting>
  <conditionalFormatting sqref="F20">
    <cfRule type="cellIs" dxfId="140" priority="1" operator="greaterThan">
      <formula>0.015</formula>
    </cfRule>
    <cfRule type="cellIs" dxfId="139" priority="2" operator="lessThanOrEqual">
      <formula>0.015</formula>
    </cfRule>
  </conditionalFormatting>
  <conditionalFormatting sqref="L17 L19">
    <cfRule type="cellIs" dxfId="138" priority="3" operator="between">
      <formula>0.9001</formula>
      <formula>0.9999</formula>
    </cfRule>
    <cfRule type="cellIs" dxfId="137" priority="4" operator="greaterThanOrEqual">
      <formula>1</formula>
    </cfRule>
    <cfRule type="cellIs" dxfId="136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2007-00F5-4370-BDA8-1A43B4D3E978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462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e">
        <f>VLOOKUP($C$2,Promotores[],3,0)</f>
        <v>#N/A</v>
      </c>
      <c r="I8" s="81"/>
      <c r="J8" s="239" t="e">
        <f>SUM(H11,H14,H17,L14,L16+H20)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VLOOKUP($C$2,Promotores[],5,0)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VLOOKUP($C$2,Promotores[],7,0)</f>
        <v>#N/A</v>
      </c>
      <c r="I14" s="81"/>
      <c r="J14" s="244" t="s">
        <v>321</v>
      </c>
      <c r="K14" s="244"/>
      <c r="L14" s="85" t="e">
        <f>VLOOKUP($C$2,Promotores[],14,0)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 t="e">
        <f>VLOOKUP($C$2,Promotores[],15,0)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VLOOKUP($C$2,Promotores[],9,0)</f>
        <v>#N/A</v>
      </c>
      <c r="I17" s="81"/>
      <c r="J17" s="244" t="s">
        <v>437</v>
      </c>
      <c r="K17" s="244"/>
      <c r="L17" s="126" t="e">
        <f>VLOOKUP($C$2,Promotores[],20,0)</f>
        <v>#N/A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#N/A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e">
        <f>VLOOKUP($C$2,Promotores[],17,0)</f>
        <v>#N/A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35" priority="6" operator="greaterThanOrEqual">
      <formula>1</formula>
    </cfRule>
    <cfRule type="cellIs" dxfId="134" priority="7" operator="lessThan">
      <formula>0.9</formula>
    </cfRule>
    <cfRule type="cellIs" dxfId="133" priority="8" operator="between">
      <formula>0.9</formula>
      <formula>1</formula>
    </cfRule>
  </conditionalFormatting>
  <conditionalFormatting sqref="F20">
    <cfRule type="cellIs" dxfId="132" priority="1" operator="greaterThan">
      <formula>0.015</formula>
    </cfRule>
    <cfRule type="cellIs" dxfId="131" priority="2" operator="lessThanOrEqual">
      <formula>0.015</formula>
    </cfRule>
  </conditionalFormatting>
  <conditionalFormatting sqref="L17 L19">
    <cfRule type="cellIs" dxfId="130" priority="3" operator="between">
      <formula>0.9001</formula>
      <formula>0.9999</formula>
    </cfRule>
    <cfRule type="cellIs" dxfId="129" priority="4" operator="greaterThanOrEqual">
      <formula>1</formula>
    </cfRule>
    <cfRule type="cellIs" dxfId="128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FCB-44D5-4969-BEA5-BE05E94EAD5E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333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A+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100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2.0055332858345595E-2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270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São Luís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27" priority="6" operator="greaterThanOrEqual">
      <formula>1</formula>
    </cfRule>
    <cfRule type="cellIs" dxfId="126" priority="7" operator="lessThan">
      <formula>0.9</formula>
    </cfRule>
    <cfRule type="cellIs" dxfId="125" priority="8" operator="between">
      <formula>0.9</formula>
      <formula>1</formula>
    </cfRule>
  </conditionalFormatting>
  <conditionalFormatting sqref="F20">
    <cfRule type="cellIs" dxfId="124" priority="1" operator="greaterThan">
      <formula>0.015</formula>
    </cfRule>
    <cfRule type="cellIs" dxfId="123" priority="2" operator="lessThanOrEqual">
      <formula>0.015</formula>
    </cfRule>
  </conditionalFormatting>
  <conditionalFormatting sqref="L17 L19">
    <cfRule type="cellIs" dxfId="122" priority="3" operator="between">
      <formula>0.9001</formula>
      <formula>0.9999</formula>
    </cfRule>
    <cfRule type="cellIs" dxfId="121" priority="4" operator="greaterThanOrEqual">
      <formula>1</formula>
    </cfRule>
    <cfRule type="cellIs" dxfId="120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A0BF-9D44-48DF-99E1-0F3A2DE4A1B0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332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19" priority="6" operator="greaterThanOrEqual">
      <formula>1</formula>
    </cfRule>
    <cfRule type="cellIs" dxfId="118" priority="7" operator="lessThan">
      <formula>0.9</formula>
    </cfRule>
    <cfRule type="cellIs" dxfId="117" priority="8" operator="between">
      <formula>0.9</formula>
      <formula>1</formula>
    </cfRule>
  </conditionalFormatting>
  <conditionalFormatting sqref="F20">
    <cfRule type="cellIs" dxfId="116" priority="1" operator="greaterThan">
      <formula>0.015</formula>
    </cfRule>
    <cfRule type="cellIs" dxfId="115" priority="2" operator="lessThanOrEqual">
      <formula>0.015</formula>
    </cfRule>
  </conditionalFormatting>
  <conditionalFormatting sqref="L17 L19">
    <cfRule type="cellIs" dxfId="114" priority="3" operator="between">
      <formula>0.9001</formula>
      <formula>0.9999</formula>
    </cfRule>
    <cfRule type="cellIs" dxfId="113" priority="4" operator="greaterThanOrEqual">
      <formula>1</formula>
    </cfRule>
    <cfRule type="cellIs" dxfId="112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D8E3-B4BB-4EF7-9E69-68B75E957683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461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e">
        <f>VLOOKUP($C$2,Promotores[],3,0)</f>
        <v>#N/A</v>
      </c>
      <c r="I8" s="81"/>
      <c r="J8" s="239" t="e">
        <f>SUM(H11,H14,H17,L14,L16+H20)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VLOOKUP($C$2,Promotores[],5,0)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VLOOKUP($C$2,Promotores[],7,0)</f>
        <v>#N/A</v>
      </c>
      <c r="I14" s="81"/>
      <c r="J14" s="244" t="s">
        <v>321</v>
      </c>
      <c r="K14" s="244"/>
      <c r="L14" s="85" t="e">
        <f>VLOOKUP($C$2,Promotores[],14,0)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 t="e">
        <f>VLOOKUP($C$2,Promotores[],15,0)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VLOOKUP($C$2,Promotores[],9,0)</f>
        <v>#N/A</v>
      </c>
      <c r="I17" s="81"/>
      <c r="J17" s="244" t="s">
        <v>437</v>
      </c>
      <c r="K17" s="244"/>
      <c r="L17" s="126" t="e">
        <f>VLOOKUP($C$2,Promotores[],20,0)</f>
        <v>#N/A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#N/A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e">
        <f>VLOOKUP($C$2,Promotores[],17,0)</f>
        <v>#N/A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19:K19"/>
  </mergeCells>
  <conditionalFormatting sqref="F8 F11 L13 F14 F17">
    <cfRule type="cellIs" dxfId="111" priority="6" operator="greaterThanOrEqual">
      <formula>1</formula>
    </cfRule>
    <cfRule type="cellIs" dxfId="110" priority="7" operator="lessThan">
      <formula>0.9</formula>
    </cfRule>
    <cfRule type="cellIs" dxfId="109" priority="8" operator="between">
      <formula>0.9</formula>
      <formula>1</formula>
    </cfRule>
  </conditionalFormatting>
  <conditionalFormatting sqref="F20">
    <cfRule type="cellIs" dxfId="108" priority="1" operator="greaterThan">
      <formula>0.015</formula>
    </cfRule>
    <cfRule type="cellIs" dxfId="107" priority="2" operator="lessThanOrEqual">
      <formula>0.015</formula>
    </cfRule>
  </conditionalFormatting>
  <conditionalFormatting sqref="L17 L19">
    <cfRule type="cellIs" dxfId="106" priority="3" operator="between">
      <formula>0.9001</formula>
      <formula>0.9999</formula>
    </cfRule>
    <cfRule type="cellIs" dxfId="105" priority="4" operator="greaterThanOrEqual">
      <formula>1</formula>
    </cfRule>
    <cfRule type="cellIs" dxfId="104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A77A-26BD-43F5-A509-5B9E00F9D2A3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334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03" priority="6" operator="greaterThanOrEqual">
      <formula>1</formula>
    </cfRule>
    <cfRule type="cellIs" dxfId="102" priority="7" operator="lessThan">
      <formula>0.9</formula>
    </cfRule>
    <cfRule type="cellIs" dxfId="101" priority="8" operator="between">
      <formula>0.9</formula>
      <formula>1</formula>
    </cfRule>
  </conditionalFormatting>
  <conditionalFormatting sqref="F20">
    <cfRule type="cellIs" dxfId="100" priority="1" operator="greaterThan">
      <formula>0.015</formula>
    </cfRule>
    <cfRule type="cellIs" dxfId="99" priority="2" operator="lessThanOrEqual">
      <formula>0.015</formula>
    </cfRule>
  </conditionalFormatting>
  <conditionalFormatting sqref="L17 L19">
    <cfRule type="cellIs" dxfId="98" priority="3" operator="between">
      <formula>0.9001</formula>
      <formula>0.9999</formula>
    </cfRule>
    <cfRule type="cellIs" dxfId="97" priority="4" operator="greaterThanOrEqual">
      <formula>1</formula>
    </cfRule>
    <cfRule type="cellIs" dxfId="96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3AC-B829-4E3A-B3BF-AA8A5E8CA432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335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95" priority="6" operator="greaterThanOrEqual">
      <formula>1</formula>
    </cfRule>
    <cfRule type="cellIs" dxfId="94" priority="7" operator="lessThan">
      <formula>0.9</formula>
    </cfRule>
    <cfRule type="cellIs" dxfId="93" priority="8" operator="between">
      <formula>0.9</formula>
      <formula>1</formula>
    </cfRule>
  </conditionalFormatting>
  <conditionalFormatting sqref="F20">
    <cfRule type="cellIs" dxfId="92" priority="1" operator="greaterThan">
      <formula>0.015</formula>
    </cfRule>
    <cfRule type="cellIs" dxfId="91" priority="2" operator="lessThanOrEqual">
      <formula>0.015</formula>
    </cfRule>
  </conditionalFormatting>
  <conditionalFormatting sqref="L17 L19">
    <cfRule type="cellIs" dxfId="90" priority="3" operator="between">
      <formula>0.9001</formula>
      <formula>0.9999</formula>
    </cfRule>
    <cfRule type="cellIs" dxfId="89" priority="4" operator="greaterThanOrEqual">
      <formula>1</formula>
    </cfRule>
    <cfRule type="cellIs" dxfId="88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431C-51A6-4AFC-B2C5-E20DEC9446F9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336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4.6512845326926941E-3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225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50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Pará Norte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87" priority="6" operator="greaterThanOrEqual">
      <formula>1</formula>
    </cfRule>
    <cfRule type="cellIs" dxfId="86" priority="7" operator="lessThan">
      <formula>0.9</formula>
    </cfRule>
    <cfRule type="cellIs" dxfId="85" priority="8" operator="between">
      <formula>0.9</formula>
      <formula>1</formula>
    </cfRule>
  </conditionalFormatting>
  <conditionalFormatting sqref="F20">
    <cfRule type="cellIs" dxfId="84" priority="1" operator="greaterThan">
      <formula>0.015</formula>
    </cfRule>
    <cfRule type="cellIs" dxfId="83" priority="2" operator="lessThanOrEqual">
      <formula>0.015</formula>
    </cfRule>
  </conditionalFormatting>
  <conditionalFormatting sqref="L17 L19">
    <cfRule type="cellIs" dxfId="82" priority="3" operator="between">
      <formula>0.9001</formula>
      <formula>0.9999</formula>
    </cfRule>
    <cfRule type="cellIs" dxfId="81" priority="4" operator="greaterThanOrEqual">
      <formula>1</formula>
    </cfRule>
    <cfRule type="cellIs" dxfId="80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E214-F172-49FD-A331-EEEBD8DAD7B0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381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79" priority="6" operator="greaterThanOrEqual">
      <formula>1</formula>
    </cfRule>
    <cfRule type="cellIs" dxfId="78" priority="7" operator="lessThan">
      <formula>0.9</formula>
    </cfRule>
    <cfRule type="cellIs" dxfId="77" priority="8" operator="between">
      <formula>0.9</formula>
      <formula>1</formula>
    </cfRule>
  </conditionalFormatting>
  <conditionalFormatting sqref="F20">
    <cfRule type="cellIs" dxfId="76" priority="1" operator="greaterThan">
      <formula>0.015</formula>
    </cfRule>
    <cfRule type="cellIs" dxfId="75" priority="2" operator="lessThanOrEqual">
      <formula>0.015</formula>
    </cfRule>
  </conditionalFormatting>
  <conditionalFormatting sqref="L17 L19">
    <cfRule type="cellIs" dxfId="74" priority="3" operator="between">
      <formula>0.9001</formula>
      <formula>0.9999</formula>
    </cfRule>
    <cfRule type="cellIs" dxfId="73" priority="4" operator="greaterThanOrEqual">
      <formula>1</formula>
    </cfRule>
    <cfRule type="cellIs" dxfId="72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D0E1-75E0-4A20-9728-3BFEADB4992F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337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71" priority="6" operator="greaterThanOrEqual">
      <formula>1</formula>
    </cfRule>
    <cfRule type="cellIs" dxfId="70" priority="7" operator="lessThan">
      <formula>0.9</formula>
    </cfRule>
    <cfRule type="cellIs" dxfId="69" priority="8" operator="between">
      <formula>0.9</formula>
      <formula>1</formula>
    </cfRule>
  </conditionalFormatting>
  <conditionalFormatting sqref="F20">
    <cfRule type="cellIs" dxfId="68" priority="1" operator="greaterThan">
      <formula>0.015</formula>
    </cfRule>
    <cfRule type="cellIs" dxfId="67" priority="2" operator="lessThanOrEqual">
      <formula>0.015</formula>
    </cfRule>
  </conditionalFormatting>
  <conditionalFormatting sqref="L17 L19">
    <cfRule type="cellIs" dxfId="66" priority="3" operator="between">
      <formula>0.9001</formula>
      <formula>0.9999</formula>
    </cfRule>
    <cfRule type="cellIs" dxfId="65" priority="4" operator="greaterThanOrEqual">
      <formula>1</formula>
    </cfRule>
    <cfRule type="cellIs" dxfId="64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0186-37F3-4574-966F-0E3331E34CB2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426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e">
        <f>VLOOKUP($C$2,Promotores[],3,0)</f>
        <v>#N/A</v>
      </c>
      <c r="I8" s="81"/>
      <c r="J8" s="239" t="e">
        <f>SUM(H11,H14,H17,L14,L16+H20)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VLOOKUP($C$2,Promotores[],5,0)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VLOOKUP($C$2,Promotores[],7,0)</f>
        <v>#N/A</v>
      </c>
      <c r="I14" s="81"/>
      <c r="J14" s="244" t="s">
        <v>321</v>
      </c>
      <c r="K14" s="244"/>
      <c r="L14" s="85" t="e">
        <f>VLOOKUP($C$2,Promotores[],14,0)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 t="e">
        <f>VLOOKUP($C$2,Promotores[],15,0)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VLOOKUP($C$2,Promotores[],9,0)</f>
        <v>#N/A</v>
      </c>
      <c r="I17" s="81"/>
      <c r="J17" s="244" t="s">
        <v>437</v>
      </c>
      <c r="K17" s="244"/>
      <c r="L17" s="126" t="e">
        <f>VLOOKUP($C$2,Promotores[],20,0)</f>
        <v>#N/A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#N/A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e">
        <f>VLOOKUP($C$2,Promotores[],17,0)</f>
        <v>#N/A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19:K19"/>
  </mergeCells>
  <conditionalFormatting sqref="F8 F11 L13 F14 F17">
    <cfRule type="cellIs" dxfId="63" priority="6" operator="greaterThanOrEqual">
      <formula>1</formula>
    </cfRule>
    <cfRule type="cellIs" dxfId="62" priority="7" operator="lessThan">
      <formula>0.9</formula>
    </cfRule>
    <cfRule type="cellIs" dxfId="61" priority="8" operator="between">
      <formula>0.9</formula>
      <formula>1</formula>
    </cfRule>
  </conditionalFormatting>
  <conditionalFormatting sqref="F20">
    <cfRule type="cellIs" dxfId="60" priority="1" operator="greaterThan">
      <formula>0.015</formula>
    </cfRule>
    <cfRule type="cellIs" dxfId="59" priority="2" operator="lessThanOrEqual">
      <formula>0.015</formula>
    </cfRule>
  </conditionalFormatting>
  <conditionalFormatting sqref="L17 L19">
    <cfRule type="cellIs" dxfId="58" priority="3" operator="between">
      <formula>0.9001</formula>
      <formula>0.9999</formula>
    </cfRule>
    <cfRule type="cellIs" dxfId="57" priority="4" operator="greaterThanOrEqual">
      <formula>1</formula>
    </cfRule>
    <cfRule type="cellIs" dxfId="56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80A2-A7AA-4615-B7E6-D07A1986E69C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394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e">
        <f>VLOOKUP($C$2,Promotores[],3,0)</f>
        <v>#N/A</v>
      </c>
      <c r="I8" s="81"/>
      <c r="J8" s="239" t="e">
        <f>SUM(H11,H14,H17,L14,L16+H20)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VLOOKUP($C$2,Promotores[],5,0)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VLOOKUP($C$2,Promotores[],7,0)</f>
        <v>#N/A</v>
      </c>
      <c r="I14" s="81"/>
      <c r="J14" s="244" t="s">
        <v>321</v>
      </c>
      <c r="K14" s="244"/>
      <c r="L14" s="85" t="e">
        <f>VLOOKUP($C$2,Promotores[],14,0)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 t="e">
        <f>VLOOKUP($C$2,Promotores[],15,0)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VLOOKUP($C$2,Promotores[],9,0)</f>
        <v>#N/A</v>
      </c>
      <c r="I17" s="81"/>
      <c r="J17" s="244" t="s">
        <v>437</v>
      </c>
      <c r="K17" s="244"/>
      <c r="L17" s="126" t="e">
        <f>VLOOKUP($C$2,Promotores[],20,0)</f>
        <v>#N/A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#N/A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e">
        <f>VLOOKUP($C$2,Promotores[],17,0)</f>
        <v>#N/A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19:K19"/>
  </mergeCells>
  <conditionalFormatting sqref="F8 F11 L13 F14 F17">
    <cfRule type="cellIs" dxfId="55" priority="6" operator="greaterThanOrEqual">
      <formula>1</formula>
    </cfRule>
    <cfRule type="cellIs" dxfId="54" priority="7" operator="lessThan">
      <formula>0.9</formula>
    </cfRule>
    <cfRule type="cellIs" dxfId="53" priority="8" operator="between">
      <formula>0.9</formula>
      <formula>1</formula>
    </cfRule>
  </conditionalFormatting>
  <conditionalFormatting sqref="F20">
    <cfRule type="cellIs" dxfId="52" priority="1" operator="greaterThan">
      <formula>0.015</formula>
    </cfRule>
    <cfRule type="cellIs" dxfId="51" priority="2" operator="lessThanOrEqual">
      <formula>0.015</formula>
    </cfRule>
  </conditionalFormatting>
  <conditionalFormatting sqref="L17 L19">
    <cfRule type="cellIs" dxfId="50" priority="3" operator="between">
      <formula>0.9001</formula>
      <formula>0.9999</formula>
    </cfRule>
    <cfRule type="cellIs" dxfId="49" priority="4" operator="greaterThanOrEqual">
      <formula>1</formula>
    </cfRule>
    <cfRule type="cellIs" dxfId="48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70AF-F254-4B4B-8A44-EABA07558553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338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A+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6.4000851894334193E-3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225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270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MA Sul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47" priority="6" operator="greaterThanOrEqual">
      <formula>1</formula>
    </cfRule>
    <cfRule type="cellIs" dxfId="46" priority="7" operator="lessThan">
      <formula>0.9</formula>
    </cfRule>
    <cfRule type="cellIs" dxfId="45" priority="8" operator="between">
      <formula>0.9</formula>
      <formula>1</formula>
    </cfRule>
  </conditionalFormatting>
  <conditionalFormatting sqref="F20">
    <cfRule type="cellIs" dxfId="44" priority="1" operator="greaterThan">
      <formula>0.015</formula>
    </cfRule>
    <cfRule type="cellIs" dxfId="43" priority="2" operator="lessThanOrEqual">
      <formula>0.015</formula>
    </cfRule>
  </conditionalFormatting>
  <conditionalFormatting sqref="L17 L19">
    <cfRule type="cellIs" dxfId="42" priority="3" operator="between">
      <formula>0.9001</formula>
      <formula>0.9999</formula>
    </cfRule>
    <cfRule type="cellIs" dxfId="41" priority="4" operator="greaterThanOrEqual">
      <formula>1</formula>
    </cfRule>
    <cfRule type="cellIs" dxfId="40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CDE4-B8AD-4C7B-AF1D-94DA73E033F1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339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Líder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7.4797324297944771E-3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225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São Luís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39" priority="6" operator="greaterThanOrEqual">
      <formula>1</formula>
    </cfRule>
    <cfRule type="cellIs" dxfId="38" priority="7" operator="lessThan">
      <formula>0.9</formula>
    </cfRule>
    <cfRule type="cellIs" dxfId="37" priority="8" operator="between">
      <formula>0.9</formula>
      <formula>1</formula>
    </cfRule>
  </conditionalFormatting>
  <conditionalFormatting sqref="F20">
    <cfRule type="cellIs" dxfId="36" priority="1" operator="greaterThan">
      <formula>0.015</formula>
    </cfRule>
    <cfRule type="cellIs" dxfId="35" priority="2" operator="lessThanOrEqual">
      <formula>0.015</formula>
    </cfRule>
  </conditionalFormatting>
  <conditionalFormatting sqref="L17 L19">
    <cfRule type="cellIs" dxfId="34" priority="3" operator="between">
      <formula>0.9001</formula>
      <formula>0.9999</formula>
    </cfRule>
    <cfRule type="cellIs" dxfId="33" priority="4" operator="greaterThanOrEqual">
      <formula>1</formula>
    </cfRule>
    <cfRule type="cellIs" dxfId="32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F9C3-B9EA-4352-B7BD-70C321CDE597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340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31" priority="6" operator="greaterThanOrEqual">
      <formula>1</formula>
    </cfRule>
    <cfRule type="cellIs" dxfId="30" priority="7" operator="lessThan">
      <formula>0.9</formula>
    </cfRule>
    <cfRule type="cellIs" dxfId="29" priority="8" operator="between">
      <formula>0.9</formula>
      <formula>1</formula>
    </cfRule>
  </conditionalFormatting>
  <conditionalFormatting sqref="F20">
    <cfRule type="cellIs" dxfId="28" priority="1" operator="greaterThan">
      <formula>0.015</formula>
    </cfRule>
    <cfRule type="cellIs" dxfId="27" priority="2" operator="lessThanOrEqual">
      <formula>0.015</formula>
    </cfRule>
  </conditionalFormatting>
  <conditionalFormatting sqref="L17 L19">
    <cfRule type="cellIs" dxfId="26" priority="3" operator="between">
      <formula>0.9001</formula>
      <formula>0.9999</formula>
    </cfRule>
    <cfRule type="cellIs" dxfId="25" priority="4" operator="greaterThanOrEqual">
      <formula>1</formula>
    </cfRule>
    <cfRule type="cellIs" dxfId="24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67FA-B96E-4E1D-BA56-89E92CC0D86C}">
  <dimension ref="B1:L22"/>
  <sheetViews>
    <sheetView showGridLines="0" topLeftCell="A2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21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e">
        <f>VLOOKUP($C$2,Promotores[],3,0)</f>
        <v>#N/A</v>
      </c>
      <c r="I8" s="81"/>
      <c r="J8" s="239" t="e">
        <f>SUM(H11,H14,H17,L14,L16+H20)</f>
        <v>#N/A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 t="e">
        <f>VLOOKUP($C$2,Promotores[],5,0)</f>
        <v>#N/A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 t="e">
        <f>VLOOKUP($C$2,Promotores[],7,0)</f>
        <v>#N/A</v>
      </c>
      <c r="I14" s="81"/>
      <c r="J14" s="244" t="s">
        <v>321</v>
      </c>
      <c r="K14" s="244"/>
      <c r="L14" s="85" t="e">
        <f>VLOOKUP($C$2,Promotores[],14,0)</f>
        <v>#N/A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 t="e">
        <f>VLOOKUP($C$2,Promotores[],15,0)</f>
        <v>#N/A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 t="e">
        <f>VLOOKUP($C$2,Promotores[],9,0)</f>
        <v>#N/A</v>
      </c>
      <c r="I17" s="81"/>
      <c r="J17" s="244" t="s">
        <v>437</v>
      </c>
      <c r="K17" s="244"/>
      <c r="L17" s="126" t="e">
        <f>VLOOKUP($C$2,Promotores[],20,0)</f>
        <v>#N/A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#N/A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e">
        <f>VLOOKUP($C$2,Promotores[],17,0)</f>
        <v>#N/A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0:L10"/>
    <mergeCell ref="C2:D2"/>
    <mergeCell ref="K2:L2"/>
    <mergeCell ref="K3:L3"/>
    <mergeCell ref="J7:L7"/>
    <mergeCell ref="J8:L8"/>
    <mergeCell ref="J13:K13"/>
    <mergeCell ref="J14:K14"/>
    <mergeCell ref="J16:K16"/>
    <mergeCell ref="J17:K17"/>
    <mergeCell ref="J19:K19"/>
  </mergeCells>
  <conditionalFormatting sqref="F8 F11 L13 F14 F17">
    <cfRule type="cellIs" dxfId="23" priority="6" operator="greaterThanOrEqual">
      <formula>1</formula>
    </cfRule>
    <cfRule type="cellIs" dxfId="22" priority="7" operator="lessThan">
      <formula>0.9</formula>
    </cfRule>
    <cfRule type="cellIs" dxfId="21" priority="8" operator="between">
      <formula>0.9</formula>
      <formula>1</formula>
    </cfRule>
  </conditionalFormatting>
  <conditionalFormatting sqref="F20">
    <cfRule type="cellIs" dxfId="20" priority="1" operator="greaterThan">
      <formula>0.015</formula>
    </cfRule>
    <cfRule type="cellIs" dxfId="19" priority="2" operator="lessThanOrEqual">
      <formula>0.015</formula>
    </cfRule>
  </conditionalFormatting>
  <conditionalFormatting sqref="L17 L19">
    <cfRule type="cellIs" dxfId="18" priority="3" operator="between">
      <formula>0.9001</formula>
      <formula>0.9999</formula>
    </cfRule>
    <cfRule type="cellIs" dxfId="17" priority="4" operator="greaterThanOrEqual">
      <formula>1</formula>
    </cfRule>
    <cfRule type="cellIs" dxfId="16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FED6-1072-43D4-86A0-58CBE52EFC68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444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B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2.8973630658791754E-3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São Luís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J13:K13"/>
    <mergeCell ref="J14:K14"/>
    <mergeCell ref="J16:K16"/>
    <mergeCell ref="J17:K17"/>
    <mergeCell ref="J19:K19"/>
    <mergeCell ref="J10:L10"/>
    <mergeCell ref="C2:D2"/>
    <mergeCell ref="K2:L2"/>
    <mergeCell ref="K3:L3"/>
    <mergeCell ref="J7:L7"/>
    <mergeCell ref="J8:L8"/>
  </mergeCells>
  <conditionalFormatting sqref="F8 F11 L13 F14 F17">
    <cfRule type="cellIs" dxfId="15" priority="6" operator="greaterThanOrEqual">
      <formula>1</formula>
    </cfRule>
    <cfRule type="cellIs" dxfId="14" priority="7" operator="lessThan">
      <formula>0.9</formula>
    </cfRule>
    <cfRule type="cellIs" dxfId="13" priority="8" operator="between">
      <formula>0.9</formula>
      <formula>1</formula>
    </cfRule>
  </conditionalFormatting>
  <conditionalFormatting sqref="F20">
    <cfRule type="cellIs" dxfId="12" priority="1" operator="greaterThan">
      <formula>0.015</formula>
    </cfRule>
    <cfRule type="cellIs" dxfId="11" priority="2" operator="lessThanOrEqual">
      <formula>0.015</formula>
    </cfRule>
  </conditionalFormatting>
  <conditionalFormatting sqref="L17 L19">
    <cfRule type="cellIs" dxfId="10" priority="3" operator="between">
      <formula>0.9001</formula>
      <formula>0.9999</formula>
    </cfRule>
    <cfRule type="cellIs" dxfId="9" priority="4" operator="greaterThanOrEqual">
      <formula>1</formula>
    </cfRule>
    <cfRule type="cellIs" dxfId="8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08E1-D766-4037-B04C-B92996599DBD}">
  <dimension ref="B1:L22"/>
  <sheetViews>
    <sheetView showGridLines="0" zoomScale="70" zoomScaleNormal="70" workbookViewId="0">
      <selection activeCell="J8" sqref="J8:L8"/>
    </sheetView>
  </sheetViews>
  <sheetFormatPr defaultRowHeight="14.4" x14ac:dyDescent="0.3"/>
  <cols>
    <col min="1" max="1" width="1.88671875" customWidth="1"/>
    <col min="2" max="2" width="27.88671875" customWidth="1"/>
    <col min="4" max="4" width="27.88671875" bestFit="1" customWidth="1"/>
    <col min="6" max="6" width="12.44140625" bestFit="1" customWidth="1"/>
    <col min="8" max="8" width="18.5546875" bestFit="1" customWidth="1"/>
    <col min="9" max="9" width="7.88671875" bestFit="1" customWidth="1"/>
    <col min="10" max="10" width="14.33203125" customWidth="1"/>
    <col min="11" max="11" width="14.88671875" customWidth="1"/>
    <col min="12" max="12" width="18.5546875" bestFit="1" customWidth="1"/>
  </cols>
  <sheetData>
    <row r="1" spans="2:12" ht="15" thickBot="1" x14ac:dyDescent="0.35"/>
    <row r="2" spans="2:12" ht="24" thickBot="1" x14ac:dyDescent="0.5">
      <c r="B2" s="76" t="s">
        <v>383</v>
      </c>
      <c r="C2" s="232" t="s">
        <v>400</v>
      </c>
      <c r="D2" s="233"/>
      <c r="E2" s="77"/>
      <c r="F2" s="77"/>
      <c r="G2" s="77"/>
      <c r="H2" s="78" t="s">
        <v>313</v>
      </c>
      <c r="I2" s="79" t="str">
        <f>'Quadro Geral'!F2</f>
        <v>AGO</v>
      </c>
      <c r="J2" s="77"/>
      <c r="K2" s="232" t="s">
        <v>314</v>
      </c>
      <c r="L2" s="233"/>
    </row>
    <row r="3" spans="2:12" ht="24" thickBot="1" x14ac:dyDescent="0.5">
      <c r="B3" s="80"/>
      <c r="C3" s="81"/>
      <c r="D3" s="81"/>
      <c r="E3" s="81"/>
      <c r="F3" s="81"/>
      <c r="G3" s="81"/>
      <c r="H3" s="81"/>
      <c r="I3" s="81"/>
      <c r="J3" s="81"/>
      <c r="K3" s="232">
        <f>'Quadro Geral'!C1</f>
        <v>0</v>
      </c>
      <c r="L3" s="233"/>
    </row>
    <row r="4" spans="2:12" ht="23.4" x14ac:dyDescent="0.45">
      <c r="B4" s="83"/>
      <c r="C4" s="81"/>
      <c r="D4" s="81"/>
      <c r="E4" s="81"/>
      <c r="F4" s="81"/>
      <c r="G4" s="81"/>
      <c r="H4" s="81"/>
      <c r="I4" s="81"/>
      <c r="J4" s="81"/>
      <c r="K4" s="81"/>
      <c r="L4" s="82"/>
    </row>
    <row r="5" spans="2:12" ht="23.4" x14ac:dyDescent="0.45">
      <c r="B5" s="83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2:12" ht="23.4" x14ac:dyDescent="0.45">
      <c r="B6" s="83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2:12" ht="26.4" thickBot="1" x14ac:dyDescent="0.55000000000000004">
      <c r="B7" s="80" t="s">
        <v>315</v>
      </c>
      <c r="C7" s="84"/>
      <c r="D7" s="84" t="s">
        <v>316</v>
      </c>
      <c r="E7" s="84"/>
      <c r="F7" s="84" t="s">
        <v>317</v>
      </c>
      <c r="G7" s="84"/>
      <c r="H7" s="84" t="s">
        <v>58</v>
      </c>
      <c r="I7" s="81"/>
      <c r="J7" s="237" t="s">
        <v>318</v>
      </c>
      <c r="K7" s="237"/>
      <c r="L7" s="238"/>
    </row>
    <row r="8" spans="2:12" ht="26.4" thickBot="1" x14ac:dyDescent="0.55000000000000004">
      <c r="B8" s="85">
        <f>SUM(B11,B14,B17)</f>
        <v>0</v>
      </c>
      <c r="C8" s="81"/>
      <c r="D8" s="85">
        <f>SUM(D11,D14,D17)</f>
        <v>0</v>
      </c>
      <c r="E8" s="81"/>
      <c r="F8" s="86">
        <f>IFERROR(D8/B8,0)</f>
        <v>0</v>
      </c>
      <c r="G8" s="81"/>
      <c r="H8" s="87" t="str">
        <f>VLOOKUP($C$2,Promotores[],3,0)</f>
        <v>C</v>
      </c>
      <c r="I8" s="81"/>
      <c r="J8" s="239" t="e">
        <f>SUM(H11,H14,H17,L14,L16+H20)</f>
        <v>#VALUE!</v>
      </c>
      <c r="K8" s="240"/>
      <c r="L8" s="241"/>
    </row>
    <row r="9" spans="2:12" ht="20.25" customHeight="1" x14ac:dyDescent="0.45">
      <c r="B9" s="88" t="s">
        <v>3</v>
      </c>
      <c r="C9" s="89"/>
      <c r="D9" s="89" t="s">
        <v>3</v>
      </c>
      <c r="E9" s="81"/>
      <c r="F9" s="81"/>
      <c r="G9" s="81"/>
      <c r="H9" s="89" t="s">
        <v>3</v>
      </c>
      <c r="I9" s="81"/>
      <c r="J9" s="81"/>
      <c r="K9" s="81"/>
      <c r="L9" s="82"/>
    </row>
    <row r="10" spans="2:12" ht="24" thickBot="1" x14ac:dyDescent="0.5">
      <c r="B10" s="80" t="s">
        <v>319</v>
      </c>
      <c r="C10" s="84"/>
      <c r="D10" s="84" t="s">
        <v>320</v>
      </c>
      <c r="E10" s="84"/>
      <c r="F10" s="84" t="s">
        <v>317</v>
      </c>
      <c r="G10" s="84"/>
      <c r="H10" s="84" t="s">
        <v>321</v>
      </c>
      <c r="I10" s="81"/>
      <c r="J10" s="242"/>
      <c r="K10" s="242"/>
      <c r="L10" s="243"/>
    </row>
    <row r="11" spans="2:12" ht="24" thickBot="1" x14ac:dyDescent="0.5">
      <c r="B11" s="85">
        <f>IFERROR(VLOOKUP(C2,#REF!,4,0),0)</f>
        <v>0</v>
      </c>
      <c r="C11" s="81"/>
      <c r="D11" s="85">
        <f>IFERROR(VLOOKUP(C2,#REF!,2,0),0)</f>
        <v>0</v>
      </c>
      <c r="E11" s="81"/>
      <c r="F11" s="86">
        <f>IFERROR(D11/B11,0)</f>
        <v>0</v>
      </c>
      <c r="G11" s="81"/>
      <c r="H11" s="85">
        <f>VLOOKUP($C$2,Promotores[],5,0)</f>
        <v>0</v>
      </c>
      <c r="I11" s="81"/>
      <c r="J11" s="81"/>
      <c r="K11" s="81"/>
      <c r="L11" s="82"/>
    </row>
    <row r="12" spans="2:12" ht="12" customHeight="1" thickBot="1" x14ac:dyDescent="0.5">
      <c r="B12" s="88" t="s">
        <v>92</v>
      </c>
      <c r="C12" s="89"/>
      <c r="D12" s="89" t="s">
        <v>92</v>
      </c>
      <c r="E12" s="81"/>
      <c r="F12" s="81"/>
      <c r="G12" s="81"/>
      <c r="H12" s="89" t="s">
        <v>92</v>
      </c>
      <c r="I12" s="81"/>
      <c r="J12" s="81"/>
      <c r="K12" s="81"/>
      <c r="L12" s="82"/>
    </row>
    <row r="13" spans="2:12" ht="24" thickBot="1" x14ac:dyDescent="0.5">
      <c r="B13" s="80" t="s">
        <v>322</v>
      </c>
      <c r="C13" s="84"/>
      <c r="D13" s="84" t="s">
        <v>323</v>
      </c>
      <c r="E13" s="84"/>
      <c r="F13" s="84" t="s">
        <v>317</v>
      </c>
      <c r="G13" s="84"/>
      <c r="H13" s="84" t="s">
        <v>321</v>
      </c>
      <c r="I13" s="81"/>
      <c r="J13" s="244" t="s">
        <v>324</v>
      </c>
      <c r="K13" s="244"/>
      <c r="L13" s="86">
        <f>'Quadro Geral'!H2</f>
        <v>0.78906184341036245</v>
      </c>
    </row>
    <row r="14" spans="2:12" ht="24" thickBot="1" x14ac:dyDescent="0.5">
      <c r="B14" s="85">
        <f>IFERROR(VLOOKUP(C2,#REF!,4,0),0)</f>
        <v>0</v>
      </c>
      <c r="C14" s="81"/>
      <c r="D14" s="85">
        <f>IFERROR(VLOOKUP(C2,#REF!,2,0),0)</f>
        <v>0</v>
      </c>
      <c r="E14" s="81"/>
      <c r="F14" s="86">
        <f>IFERROR(D14/B14,0)</f>
        <v>0</v>
      </c>
      <c r="G14" s="81"/>
      <c r="H14" s="85">
        <f>VLOOKUP($C$2,Promotores[],7,0)</f>
        <v>0</v>
      </c>
      <c r="I14" s="81"/>
      <c r="J14" s="244" t="s">
        <v>321</v>
      </c>
      <c r="K14" s="244"/>
      <c r="L14" s="85">
        <f>VLOOKUP($C$2,Promotores[],14,0)</f>
        <v>0</v>
      </c>
    </row>
    <row r="15" spans="2:12" ht="12" customHeight="1" thickBot="1" x14ac:dyDescent="0.5">
      <c r="B15" s="88" t="s">
        <v>93</v>
      </c>
      <c r="C15" s="89"/>
      <c r="D15" s="89" t="s">
        <v>93</v>
      </c>
      <c r="E15" s="81"/>
      <c r="F15" s="81"/>
      <c r="G15" s="81"/>
      <c r="H15" s="89" t="s">
        <v>93</v>
      </c>
      <c r="I15" s="81"/>
      <c r="J15" s="81"/>
      <c r="K15" s="81"/>
      <c r="L15" s="82"/>
    </row>
    <row r="16" spans="2:12" ht="24" thickBot="1" x14ac:dyDescent="0.5">
      <c r="B16" s="80" t="s">
        <v>325</v>
      </c>
      <c r="C16" s="84"/>
      <c r="D16" s="84" t="s">
        <v>326</v>
      </c>
      <c r="E16" s="84"/>
      <c r="F16" s="84" t="s">
        <v>317</v>
      </c>
      <c r="G16" s="84"/>
      <c r="H16" s="84" t="s">
        <v>321</v>
      </c>
      <c r="I16" s="81"/>
      <c r="J16" s="244" t="s">
        <v>436</v>
      </c>
      <c r="K16" s="244"/>
      <c r="L16" s="85">
        <f>VLOOKUP($C$2,Promotores[],15,0)</f>
        <v>0</v>
      </c>
    </row>
    <row r="17" spans="2:12" ht="24" thickBot="1" x14ac:dyDescent="0.5">
      <c r="B17" s="85">
        <f>IFERROR(VLOOKUP(C2,#REF!,4,0),0)</f>
        <v>0</v>
      </c>
      <c r="C17" s="81"/>
      <c r="D17" s="85">
        <f>IFERROR(VLOOKUP(C2,#REF!,2,0),0)</f>
        <v>0</v>
      </c>
      <c r="E17" s="81"/>
      <c r="F17" s="86">
        <f>IFERROR(D17/B17,0)</f>
        <v>0</v>
      </c>
      <c r="G17" s="81"/>
      <c r="H17" s="85">
        <f>VLOOKUP($C$2,Promotores[],9,0)</f>
        <v>0</v>
      </c>
      <c r="I17" s="81"/>
      <c r="J17" s="244" t="s">
        <v>437</v>
      </c>
      <c r="K17" s="244"/>
      <c r="L17" s="126" t="e">
        <f>VLOOKUP($C$2,Promotores[],20,0)</f>
        <v>#REF!</v>
      </c>
    </row>
    <row r="18" spans="2:12" ht="12" customHeight="1" thickBot="1" x14ac:dyDescent="0.5">
      <c r="B18" s="88" t="s">
        <v>0</v>
      </c>
      <c r="C18" s="89"/>
      <c r="D18" s="89" t="s">
        <v>0</v>
      </c>
      <c r="E18" s="81"/>
      <c r="F18" s="81"/>
      <c r="G18" s="81"/>
      <c r="H18" s="89" t="s">
        <v>0</v>
      </c>
      <c r="I18" s="81"/>
      <c r="J18" s="81"/>
      <c r="K18" s="81"/>
      <c r="L18" s="82"/>
    </row>
    <row r="19" spans="2:12" ht="24" thickBot="1" x14ac:dyDescent="0.5">
      <c r="B19" s="80" t="s">
        <v>94</v>
      </c>
      <c r="C19" s="84"/>
      <c r="D19" s="84" t="s">
        <v>330</v>
      </c>
      <c r="E19" s="84"/>
      <c r="F19" s="84" t="s">
        <v>317</v>
      </c>
      <c r="G19" s="81"/>
      <c r="H19" s="84" t="s">
        <v>321</v>
      </c>
      <c r="I19" s="81"/>
      <c r="J19" s="244" t="s">
        <v>439</v>
      </c>
      <c r="K19" s="244"/>
      <c r="L19" s="126" t="e">
        <f>VLOOKUP($C$2,Promotores[],21,0)</f>
        <v>#REF!</v>
      </c>
    </row>
    <row r="20" spans="2:12" ht="24" thickBot="1" x14ac:dyDescent="0.5">
      <c r="B20" s="85">
        <f>IFERROR(VLOOKUP(C2,#REF!,2,0),0)</f>
        <v>0</v>
      </c>
      <c r="C20" s="91"/>
      <c r="D20" s="85">
        <f>IFERROR(VLOOKUP(C2,#REF!,6,0),0)</f>
        <v>0</v>
      </c>
      <c r="E20" s="91"/>
      <c r="F20" s="92">
        <f>IFERROR(D20/B20,0)</f>
        <v>0</v>
      </c>
      <c r="G20" s="91"/>
      <c r="H20" s="85" t="str">
        <f>VLOOKUP($C$2,Promotores[],17,0)</f>
        <v>Vago</v>
      </c>
      <c r="I20" s="91"/>
      <c r="J20" s="235"/>
      <c r="K20" s="235"/>
      <c r="L20" s="236"/>
    </row>
    <row r="21" spans="2:12" ht="12" customHeight="1" x14ac:dyDescent="0.45">
      <c r="B21" s="88"/>
      <c r="C21" s="89"/>
      <c r="D21" s="89"/>
      <c r="E21" s="81"/>
      <c r="F21" s="81"/>
      <c r="G21" s="81"/>
      <c r="H21" s="89"/>
      <c r="I21" s="81"/>
      <c r="J21" s="81"/>
      <c r="K21" s="81"/>
      <c r="L21" s="81"/>
    </row>
    <row r="22" spans="2:12" ht="23.4" x14ac:dyDescent="0.45">
      <c r="I22" s="81"/>
      <c r="J22" s="81"/>
      <c r="K22" s="81"/>
      <c r="L22" s="81"/>
    </row>
  </sheetData>
  <mergeCells count="12">
    <mergeCell ref="J20:L20"/>
    <mergeCell ref="C2:D2"/>
    <mergeCell ref="K2:L2"/>
    <mergeCell ref="K3:L3"/>
    <mergeCell ref="J7:L7"/>
    <mergeCell ref="J8:L8"/>
    <mergeCell ref="J10:L10"/>
    <mergeCell ref="J13:K13"/>
    <mergeCell ref="J14:K14"/>
    <mergeCell ref="J16:K16"/>
    <mergeCell ref="J17:K17"/>
    <mergeCell ref="J19:K19"/>
  </mergeCells>
  <conditionalFormatting sqref="F8 F11 L13 F14 F17">
    <cfRule type="cellIs" dxfId="7" priority="6" operator="greaterThanOrEqual">
      <formula>1</formula>
    </cfRule>
    <cfRule type="cellIs" dxfId="6" priority="7" operator="lessThan">
      <formula>0.9</formula>
    </cfRule>
    <cfRule type="cellIs" dxfId="5" priority="8" operator="between">
      <formula>0.9</formula>
      <formula>1</formula>
    </cfRule>
  </conditionalFormatting>
  <conditionalFormatting sqref="F20">
    <cfRule type="cellIs" dxfId="4" priority="1" operator="greaterThan">
      <formula>0.015</formula>
    </cfRule>
    <cfRule type="cellIs" dxfId="3" priority="2" operator="lessThanOrEqual">
      <formula>0.015</formula>
    </cfRule>
  </conditionalFormatting>
  <conditionalFormatting sqref="L17 L19">
    <cfRule type="cellIs" dxfId="2" priority="3" operator="between">
      <formula>0.9001</formula>
      <formula>0.9999</formula>
    </cfRule>
    <cfRule type="cellIs" dxfId="1" priority="4" operator="greaterThanOrEqual">
      <formula>1</formula>
    </cfRule>
    <cfRule type="cellIs" dxfId="0" priority="5" operator="lessThan">
      <formula>0.9</formula>
    </cfRule>
  </conditionalFormatting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4A8D-8D3B-4CF7-9BD5-EF98AC20F9BF}">
  <dimension ref="A1:AB125"/>
  <sheetViews>
    <sheetView showGridLines="0" topLeftCell="A72" workbookViewId="0">
      <selection activeCell="J8" sqref="J8:L8"/>
    </sheetView>
  </sheetViews>
  <sheetFormatPr defaultRowHeight="14.4" x14ac:dyDescent="0.3"/>
  <cols>
    <col min="1" max="1" width="7.44140625" bestFit="1" customWidth="1"/>
    <col min="3" max="3" width="22.88671875" bestFit="1" customWidth="1"/>
    <col min="4" max="4" width="31.109375" bestFit="1" customWidth="1"/>
    <col min="5" max="7" width="12.109375" bestFit="1" customWidth="1"/>
    <col min="8" max="8" width="10.5546875" bestFit="1" customWidth="1"/>
    <col min="9" max="9" width="7.44140625" bestFit="1" customWidth="1"/>
    <col min="10" max="10" width="2.109375" customWidth="1"/>
    <col min="11" max="11" width="22.88671875" bestFit="1" customWidth="1"/>
    <col min="12" max="12" width="30.6640625" bestFit="1" customWidth="1"/>
    <col min="13" max="15" width="12.109375" bestFit="1" customWidth="1"/>
    <col min="16" max="16" width="8.6640625" hidden="1" customWidth="1"/>
    <col min="17" max="17" width="12.88671875" hidden="1" customWidth="1"/>
    <col min="18" max="18" width="1.5546875" customWidth="1"/>
    <col min="19" max="19" width="8.6640625" customWidth="1"/>
    <col min="20" max="20" width="13.5546875" bestFit="1" customWidth="1"/>
    <col min="21" max="22" width="10.5546875" bestFit="1" customWidth="1"/>
    <col min="23" max="23" width="10.44140625" customWidth="1"/>
    <col min="24" max="24" width="5.5546875" hidden="1" customWidth="1"/>
    <col min="25" max="25" width="15.109375" bestFit="1" customWidth="1"/>
    <col min="26" max="26" width="10.5546875" bestFit="1" customWidth="1"/>
    <col min="27" max="28" width="11.6640625" bestFit="1" customWidth="1"/>
  </cols>
  <sheetData>
    <row r="1" spans="1:28" ht="15" thickBot="1" x14ac:dyDescent="0.35"/>
    <row r="2" spans="1:28" ht="18.600000000000001" thickBot="1" x14ac:dyDescent="0.4">
      <c r="A2" s="9"/>
      <c r="B2" s="10"/>
      <c r="C2" s="11" t="s">
        <v>22</v>
      </c>
      <c r="D2" s="11" t="s">
        <v>365</v>
      </c>
      <c r="E2" s="12" t="s">
        <v>23</v>
      </c>
      <c r="F2" s="12">
        <v>1500</v>
      </c>
      <c r="G2" s="13" t="s">
        <v>24</v>
      </c>
      <c r="I2" s="9"/>
      <c r="J2" s="10"/>
      <c r="K2" s="11" t="s">
        <v>25</v>
      </c>
      <c r="L2" s="11" t="s">
        <v>26</v>
      </c>
      <c r="M2" s="12" t="s">
        <v>23</v>
      </c>
      <c r="N2" s="12">
        <v>2000</v>
      </c>
      <c r="O2" s="14"/>
      <c r="T2" s="15" t="s">
        <v>27</v>
      </c>
      <c r="U2" s="204" t="s">
        <v>28</v>
      </c>
      <c r="V2" s="205"/>
      <c r="W2" s="206"/>
      <c r="Y2" s="15" t="s">
        <v>29</v>
      </c>
      <c r="Z2" s="204" t="s">
        <v>28</v>
      </c>
      <c r="AA2" s="205"/>
      <c r="AB2" s="206"/>
    </row>
    <row r="3" spans="1:28" ht="15" hidden="1" thickBot="1" x14ac:dyDescent="0.35">
      <c r="A3" s="16" t="s">
        <v>30</v>
      </c>
      <c r="B3" s="1"/>
      <c r="C3" s="1" t="s">
        <v>31</v>
      </c>
      <c r="D3" s="1"/>
      <c r="E3" s="1"/>
      <c r="F3" s="1"/>
      <c r="G3" s="17"/>
      <c r="I3" s="16" t="s">
        <v>30</v>
      </c>
      <c r="J3" s="1"/>
      <c r="K3" s="1" t="s">
        <v>31</v>
      </c>
      <c r="L3" s="1"/>
      <c r="M3" s="1"/>
      <c r="N3" s="1"/>
      <c r="O3" s="17"/>
      <c r="T3" s="4" t="s">
        <v>32</v>
      </c>
      <c r="U3" s="18">
        <v>0.9</v>
      </c>
      <c r="V3" s="18">
        <v>1</v>
      </c>
      <c r="W3" s="19">
        <v>1.1499999999999999</v>
      </c>
      <c r="Y3" s="4" t="s">
        <v>32</v>
      </c>
      <c r="Z3" s="18">
        <v>0.9</v>
      </c>
      <c r="AA3" s="18">
        <v>1</v>
      </c>
      <c r="AB3" s="19">
        <v>1.1499999999999999</v>
      </c>
    </row>
    <row r="4" spans="1:28" hidden="1" x14ac:dyDescent="0.3">
      <c r="A4" s="16" t="s">
        <v>33</v>
      </c>
      <c r="B4" s="1"/>
      <c r="C4" s="1" t="s">
        <v>34</v>
      </c>
      <c r="D4" s="1"/>
      <c r="E4" s="20">
        <v>0.9</v>
      </c>
      <c r="F4" s="20">
        <v>1</v>
      </c>
      <c r="G4" s="21">
        <v>1.1499999999999999</v>
      </c>
      <c r="I4" s="16" t="s">
        <v>33</v>
      </c>
      <c r="J4" s="1"/>
      <c r="K4" s="1" t="s">
        <v>34</v>
      </c>
      <c r="L4" s="1"/>
      <c r="M4" s="20">
        <v>0.9</v>
      </c>
      <c r="N4" s="20">
        <v>1</v>
      </c>
      <c r="O4" s="21">
        <v>1.1499999999999999</v>
      </c>
      <c r="T4" s="22" t="s">
        <v>24</v>
      </c>
      <c r="U4" s="23">
        <f>E17</f>
        <v>100</v>
      </c>
      <c r="V4" s="23">
        <f>F17</f>
        <v>200</v>
      </c>
      <c r="W4" s="24">
        <f>G17</f>
        <v>270</v>
      </c>
      <c r="Y4" s="25" t="s">
        <v>24</v>
      </c>
      <c r="Z4" s="26">
        <v>135</v>
      </c>
      <c r="AA4" s="26">
        <v>270</v>
      </c>
      <c r="AB4" s="27">
        <v>350</v>
      </c>
    </row>
    <row r="5" spans="1:28" ht="15.6" hidden="1" x14ac:dyDescent="0.3">
      <c r="A5" s="16"/>
      <c r="B5" s="1"/>
      <c r="C5" s="1" t="s">
        <v>35</v>
      </c>
      <c r="D5" s="1" t="s">
        <v>36</v>
      </c>
      <c r="E5" s="20">
        <f t="shared" ref="E5:G8" si="0">E16/$F$25</f>
        <v>5.3571428571428568E-2</v>
      </c>
      <c r="F5" s="20">
        <f t="shared" si="0"/>
        <v>0.10714285714285714</v>
      </c>
      <c r="G5" s="21">
        <f t="shared" si="0"/>
        <v>0.16071428571428573</v>
      </c>
      <c r="H5" s="28"/>
      <c r="I5" s="16"/>
      <c r="J5" s="1"/>
      <c r="K5" s="1" t="s">
        <v>35</v>
      </c>
      <c r="L5" s="1" t="s">
        <v>36</v>
      </c>
      <c r="M5" s="20">
        <v>0.05</v>
      </c>
      <c r="N5" s="20">
        <v>0.1</v>
      </c>
      <c r="O5" s="21">
        <v>0.15</v>
      </c>
      <c r="Q5" s="29"/>
      <c r="R5" s="30"/>
      <c r="S5" s="30"/>
      <c r="T5" s="31" t="s">
        <v>37</v>
      </c>
      <c r="U5" s="32">
        <f>E43</f>
        <v>85</v>
      </c>
      <c r="V5" s="32">
        <f>F43</f>
        <v>170</v>
      </c>
      <c r="W5" s="33">
        <f>G43</f>
        <v>200</v>
      </c>
      <c r="X5" s="29"/>
      <c r="Y5" s="31" t="s">
        <v>37</v>
      </c>
      <c r="Z5" s="26">
        <v>112.5</v>
      </c>
      <c r="AA5" s="26">
        <v>225</v>
      </c>
      <c r="AB5" s="27">
        <v>270</v>
      </c>
    </row>
    <row r="6" spans="1:28" ht="16.2" hidden="1" thickBot="1" x14ac:dyDescent="0.35">
      <c r="A6" s="16"/>
      <c r="B6" s="1"/>
      <c r="C6" s="1" t="s">
        <v>38</v>
      </c>
      <c r="D6" s="1" t="s">
        <v>39</v>
      </c>
      <c r="E6" s="20">
        <f t="shared" si="0"/>
        <v>7.1428571428571425E-2</v>
      </c>
      <c r="F6" s="20">
        <f t="shared" si="0"/>
        <v>0.14285714285714285</v>
      </c>
      <c r="G6" s="21">
        <f t="shared" si="0"/>
        <v>0.19285714285714287</v>
      </c>
      <c r="H6" s="35"/>
      <c r="I6" s="16"/>
      <c r="J6" s="1"/>
      <c r="K6" s="1" t="s">
        <v>38</v>
      </c>
      <c r="L6" s="1" t="s">
        <v>39</v>
      </c>
      <c r="M6" s="34">
        <v>7.4999999999999997E-2</v>
      </c>
      <c r="N6" s="20">
        <v>0.15</v>
      </c>
      <c r="O6" s="21">
        <v>0.2</v>
      </c>
      <c r="P6" s="36"/>
      <c r="Q6" s="36"/>
      <c r="R6" s="36"/>
      <c r="S6" s="36"/>
      <c r="T6" s="37" t="s">
        <v>40</v>
      </c>
      <c r="U6" s="32">
        <f>E69</f>
        <v>70</v>
      </c>
      <c r="V6" s="32">
        <f>F69</f>
        <v>140</v>
      </c>
      <c r="W6" s="33">
        <f>G69</f>
        <v>175</v>
      </c>
      <c r="X6" s="36"/>
      <c r="Y6" s="38" t="s">
        <v>40</v>
      </c>
      <c r="Z6" s="39">
        <v>85</v>
      </c>
      <c r="AA6" s="39">
        <v>170</v>
      </c>
      <c r="AB6" s="40">
        <v>220</v>
      </c>
    </row>
    <row r="7" spans="1:28" ht="16.2" hidden="1" thickBot="1" x14ac:dyDescent="0.35">
      <c r="A7" s="16"/>
      <c r="B7" s="1"/>
      <c r="C7" s="1" t="s">
        <v>41</v>
      </c>
      <c r="D7" s="1" t="s">
        <v>42</v>
      </c>
      <c r="E7" s="20">
        <f t="shared" si="0"/>
        <v>7.1428571428571425E-2</v>
      </c>
      <c r="F7" s="20">
        <f t="shared" si="0"/>
        <v>0.14285714285714285</v>
      </c>
      <c r="G7" s="21">
        <f t="shared" si="0"/>
        <v>0.19285714285714287</v>
      </c>
      <c r="H7" s="35"/>
      <c r="I7" s="16"/>
      <c r="J7" s="1"/>
      <c r="K7" s="1" t="s">
        <v>41</v>
      </c>
      <c r="L7" s="1" t="s">
        <v>42</v>
      </c>
      <c r="M7" s="34">
        <v>0.15</v>
      </c>
      <c r="N7" s="20">
        <v>0.3</v>
      </c>
      <c r="O7" s="21">
        <v>0.4</v>
      </c>
      <c r="P7" s="41"/>
      <c r="Q7" s="42"/>
      <c r="R7" s="41"/>
      <c r="S7" s="41"/>
      <c r="T7" s="43" t="s">
        <v>43</v>
      </c>
      <c r="U7" s="44">
        <f>E96</f>
        <v>50</v>
      </c>
      <c r="V7" s="44">
        <f>F96</f>
        <v>100</v>
      </c>
      <c r="W7" s="45">
        <f>G96</f>
        <v>125</v>
      </c>
      <c r="X7" s="46"/>
      <c r="Y7" s="42"/>
      <c r="Z7" s="42"/>
    </row>
    <row r="8" spans="1:28" ht="15.6" hidden="1" x14ac:dyDescent="0.3">
      <c r="A8" s="16"/>
      <c r="B8" s="1"/>
      <c r="C8" s="1" t="s">
        <v>44</v>
      </c>
      <c r="D8" s="1" t="s">
        <v>45</v>
      </c>
      <c r="E8" s="20">
        <f t="shared" si="0"/>
        <v>7.1428571428571425E-2</v>
      </c>
      <c r="F8" s="20">
        <f t="shared" si="0"/>
        <v>0.14285714285714285</v>
      </c>
      <c r="G8" s="21">
        <f t="shared" si="0"/>
        <v>0.19285714285714287</v>
      </c>
      <c r="H8" s="35"/>
      <c r="I8" s="16"/>
      <c r="J8" s="1"/>
      <c r="K8" s="1"/>
      <c r="L8" s="1"/>
      <c r="M8" s="34"/>
      <c r="N8" s="20"/>
      <c r="O8" s="21"/>
      <c r="P8" s="41"/>
      <c r="Q8" s="42"/>
      <c r="R8" s="41"/>
      <c r="S8" s="41"/>
      <c r="T8" s="74"/>
      <c r="U8" s="32"/>
      <c r="V8" s="32"/>
      <c r="W8" s="32"/>
      <c r="X8" s="46"/>
      <c r="Y8" s="42"/>
      <c r="Z8" s="42"/>
    </row>
    <row r="9" spans="1:28" ht="15.6" hidden="1" x14ac:dyDescent="0.3">
      <c r="A9" s="16"/>
      <c r="B9" s="47"/>
      <c r="C9" s="1"/>
      <c r="D9" s="1"/>
      <c r="E9" s="20"/>
      <c r="F9" s="1"/>
      <c r="G9" s="17"/>
      <c r="H9" s="48"/>
      <c r="I9" s="16"/>
      <c r="J9" s="47"/>
      <c r="K9" s="1"/>
      <c r="L9" s="1"/>
      <c r="M9" s="1"/>
      <c r="N9" s="1"/>
      <c r="O9" s="17"/>
      <c r="P9" s="41"/>
      <c r="Q9" s="42"/>
      <c r="R9" s="41"/>
      <c r="S9" s="41"/>
      <c r="T9" s="42"/>
      <c r="U9" s="41"/>
      <c r="V9" s="42"/>
      <c r="W9" s="42"/>
      <c r="X9" s="46"/>
      <c r="Y9" s="42"/>
      <c r="Z9" s="42"/>
    </row>
    <row r="10" spans="1:28" ht="15.6" hidden="1" x14ac:dyDescent="0.3">
      <c r="A10" s="16">
        <v>2</v>
      </c>
      <c r="B10" s="47"/>
      <c r="C10" s="1" t="s">
        <v>46</v>
      </c>
      <c r="D10" s="1" t="s">
        <v>39</v>
      </c>
      <c r="E10" s="20">
        <f>E21/$F$25</f>
        <v>0.16071428571428573</v>
      </c>
      <c r="F10" s="20">
        <f>F21/$F$25</f>
        <v>0.16071428571428573</v>
      </c>
      <c r="G10" s="21">
        <f>G21/$F$25</f>
        <v>0.16071428571428573</v>
      </c>
      <c r="H10" s="48"/>
      <c r="I10" s="16">
        <v>2</v>
      </c>
      <c r="J10" s="47"/>
      <c r="K10" s="1" t="s">
        <v>47</v>
      </c>
      <c r="L10" s="1" t="s">
        <v>39</v>
      </c>
      <c r="M10" s="20">
        <v>0.15</v>
      </c>
      <c r="N10" s="20">
        <v>0.15</v>
      </c>
      <c r="O10" s="21">
        <v>0.15</v>
      </c>
      <c r="P10" s="41"/>
      <c r="Q10" s="42"/>
      <c r="R10" s="41"/>
      <c r="S10" s="41"/>
      <c r="T10" s="49"/>
      <c r="U10" s="259" t="s">
        <v>48</v>
      </c>
      <c r="V10" s="259"/>
      <c r="W10" s="259"/>
      <c r="X10" s="42"/>
      <c r="Y10" s="42"/>
      <c r="Z10" s="42"/>
    </row>
    <row r="11" spans="1:28" hidden="1" x14ac:dyDescent="0.3">
      <c r="A11" s="16"/>
      <c r="B11" s="47"/>
      <c r="C11" s="1"/>
      <c r="D11" s="1"/>
      <c r="E11" s="20"/>
      <c r="F11" s="1"/>
      <c r="G11" s="17"/>
      <c r="H11" s="48"/>
      <c r="I11" s="16"/>
      <c r="J11" s="47"/>
      <c r="K11" s="1"/>
      <c r="L11" s="1"/>
      <c r="M11" s="1"/>
      <c r="N11" s="1"/>
      <c r="O11" s="17"/>
      <c r="T11" s="50"/>
      <c r="U11" s="51">
        <v>0.9</v>
      </c>
      <c r="V11" s="51">
        <v>1</v>
      </c>
      <c r="W11" s="51">
        <v>1.1499999999999999</v>
      </c>
    </row>
    <row r="12" spans="1:28" hidden="1" x14ac:dyDescent="0.3">
      <c r="A12" s="16">
        <v>3</v>
      </c>
      <c r="B12" s="1"/>
      <c r="C12" s="1" t="s">
        <v>49</v>
      </c>
      <c r="D12" s="1" t="s">
        <v>36</v>
      </c>
      <c r="E12" s="20">
        <f>E23/$F$25</f>
        <v>0.16071428571428573</v>
      </c>
      <c r="F12" s="20">
        <f>F23/$F$25</f>
        <v>0.16071428571428573</v>
      </c>
      <c r="G12" s="21">
        <v>0.15</v>
      </c>
      <c r="H12" s="48"/>
      <c r="I12" s="16">
        <v>3</v>
      </c>
      <c r="J12" s="1"/>
      <c r="K12" s="1" t="s">
        <v>49</v>
      </c>
      <c r="L12" s="1" t="s">
        <v>36</v>
      </c>
      <c r="M12" s="20">
        <v>0.15</v>
      </c>
      <c r="N12" s="20">
        <v>0.15</v>
      </c>
      <c r="O12" s="21">
        <v>0.15</v>
      </c>
      <c r="T12" s="50" t="s">
        <v>5</v>
      </c>
      <c r="U12" s="52">
        <v>75</v>
      </c>
      <c r="V12" s="52">
        <v>150</v>
      </c>
      <c r="W12" s="52">
        <v>225</v>
      </c>
    </row>
    <row r="13" spans="1:28" hidden="1" x14ac:dyDescent="0.3">
      <c r="A13" s="16"/>
      <c r="B13" s="1"/>
      <c r="C13" s="1"/>
      <c r="D13" s="1"/>
      <c r="E13" s="20">
        <f>SUM(E5:E12)</f>
        <v>0.5892857142857143</v>
      </c>
      <c r="F13" s="20">
        <f>SUM(F5:F12)</f>
        <v>0.8571428571428571</v>
      </c>
      <c r="G13" s="21">
        <f>SUM(G5:G12)</f>
        <v>1.05</v>
      </c>
      <c r="H13" s="48"/>
      <c r="I13" s="16"/>
      <c r="J13" s="1"/>
      <c r="K13" s="1"/>
      <c r="L13" s="1"/>
      <c r="M13" s="20">
        <v>0.65</v>
      </c>
      <c r="N13" s="20">
        <v>1</v>
      </c>
      <c r="O13" s="21">
        <v>1.1999999999999997</v>
      </c>
      <c r="T13" s="50" t="s">
        <v>25</v>
      </c>
      <c r="U13" s="52">
        <v>100</v>
      </c>
      <c r="V13" s="52">
        <v>200</v>
      </c>
      <c r="W13" s="52">
        <v>300</v>
      </c>
      <c r="Z13" s="60"/>
    </row>
    <row r="14" spans="1:28" x14ac:dyDescent="0.3">
      <c r="A14" s="16" t="s">
        <v>30</v>
      </c>
      <c r="B14" s="1"/>
      <c r="C14" s="1" t="s">
        <v>31</v>
      </c>
      <c r="D14" s="1"/>
      <c r="E14" s="1"/>
      <c r="F14" s="1"/>
      <c r="G14" s="17"/>
      <c r="H14" s="48"/>
      <c r="I14" s="16" t="s">
        <v>30</v>
      </c>
      <c r="J14" s="1"/>
      <c r="K14" s="1" t="s">
        <v>31</v>
      </c>
      <c r="L14" s="1"/>
      <c r="M14" s="1"/>
      <c r="N14" s="1"/>
      <c r="O14" s="17"/>
    </row>
    <row r="15" spans="1:28" x14ac:dyDescent="0.3">
      <c r="A15" s="16" t="s">
        <v>33</v>
      </c>
      <c r="B15" s="1"/>
      <c r="C15" s="1" t="s">
        <v>34</v>
      </c>
      <c r="D15" s="1"/>
      <c r="E15" s="20">
        <v>0.9</v>
      </c>
      <c r="F15" s="20">
        <v>1</v>
      </c>
      <c r="G15" s="21">
        <v>1.1499999999999999</v>
      </c>
      <c r="H15" s="48"/>
      <c r="I15" s="16" t="s">
        <v>33</v>
      </c>
      <c r="J15" s="1"/>
      <c r="K15" s="1" t="s">
        <v>34</v>
      </c>
      <c r="L15" s="1"/>
      <c r="M15" s="20">
        <v>0.9</v>
      </c>
      <c r="N15" s="20">
        <v>1</v>
      </c>
      <c r="O15" s="21">
        <v>1.1499999999999999</v>
      </c>
    </row>
    <row r="16" spans="1:28" ht="15" thickBot="1" x14ac:dyDescent="0.35">
      <c r="A16" s="16"/>
      <c r="B16" s="1"/>
      <c r="C16" s="1" t="s">
        <v>35</v>
      </c>
      <c r="D16" s="1" t="s">
        <v>36</v>
      </c>
      <c r="E16" s="32">
        <v>75</v>
      </c>
      <c r="F16" s="32">
        <v>150</v>
      </c>
      <c r="G16" s="53">
        <v>225</v>
      </c>
      <c r="H16" s="48"/>
      <c r="I16" s="16"/>
      <c r="J16" s="1"/>
      <c r="K16" s="1" t="s">
        <v>35</v>
      </c>
      <c r="L16" s="1" t="s">
        <v>36</v>
      </c>
      <c r="M16" s="32">
        <v>100</v>
      </c>
      <c r="N16" s="32">
        <v>200</v>
      </c>
      <c r="O16" s="53">
        <v>300</v>
      </c>
    </row>
    <row r="17" spans="1:23" ht="15" thickBot="1" x14ac:dyDescent="0.35">
      <c r="A17" s="16"/>
      <c r="B17" s="1"/>
      <c r="C17" s="1" t="s">
        <v>38</v>
      </c>
      <c r="D17" s="1" t="s">
        <v>39</v>
      </c>
      <c r="E17" s="32">
        <v>100</v>
      </c>
      <c r="F17" s="32">
        <v>200</v>
      </c>
      <c r="G17" s="53">
        <v>270</v>
      </c>
      <c r="H17" s="48"/>
      <c r="I17" s="16"/>
      <c r="J17" s="1"/>
      <c r="K17" s="1" t="s">
        <v>38</v>
      </c>
      <c r="L17" s="1" t="s">
        <v>39</v>
      </c>
      <c r="M17" s="32">
        <f>N17/2</f>
        <v>135</v>
      </c>
      <c r="N17" s="32">
        <v>270</v>
      </c>
      <c r="O17" s="53">
        <v>350</v>
      </c>
      <c r="T17" s="15" t="s">
        <v>27</v>
      </c>
      <c r="U17" s="204" t="s">
        <v>341</v>
      </c>
      <c r="V17" s="205"/>
      <c r="W17" s="206"/>
    </row>
    <row r="18" spans="1:23" ht="15" thickBot="1" x14ac:dyDescent="0.35">
      <c r="A18" s="16"/>
      <c r="B18" s="1"/>
      <c r="C18" s="1" t="s">
        <v>41</v>
      </c>
      <c r="D18" s="1" t="s">
        <v>42</v>
      </c>
      <c r="E18" s="32">
        <v>100</v>
      </c>
      <c r="F18" s="32">
        <v>200</v>
      </c>
      <c r="G18" s="53">
        <v>270</v>
      </c>
      <c r="H18" s="48"/>
      <c r="I18" s="16"/>
      <c r="J18" s="1"/>
      <c r="K18" s="1" t="s">
        <v>41</v>
      </c>
      <c r="L18" s="1" t="s">
        <v>42</v>
      </c>
      <c r="M18" s="32">
        <f>N18/2</f>
        <v>135</v>
      </c>
      <c r="N18" s="32">
        <v>270</v>
      </c>
      <c r="O18" s="53">
        <v>350</v>
      </c>
      <c r="T18" s="4" t="s">
        <v>32</v>
      </c>
      <c r="U18" s="212">
        <v>0.6</v>
      </c>
      <c r="V18" s="212"/>
      <c r="W18" s="213"/>
    </row>
    <row r="19" spans="1:23" x14ac:dyDescent="0.3">
      <c r="A19" s="16"/>
      <c r="B19" s="1"/>
      <c r="C19" s="1" t="s">
        <v>44</v>
      </c>
      <c r="D19" s="1" t="s">
        <v>45</v>
      </c>
      <c r="E19" s="32">
        <v>100</v>
      </c>
      <c r="F19" s="32">
        <v>200</v>
      </c>
      <c r="G19" s="53">
        <v>270</v>
      </c>
      <c r="H19" s="48"/>
      <c r="I19" s="16"/>
      <c r="J19" s="1"/>
      <c r="K19" s="1" t="s">
        <v>44</v>
      </c>
      <c r="L19" s="1" t="s">
        <v>45</v>
      </c>
      <c r="M19" s="32">
        <f>N19/2</f>
        <v>135</v>
      </c>
      <c r="N19" s="32">
        <v>270</v>
      </c>
      <c r="O19" s="53">
        <v>350</v>
      </c>
      <c r="T19" s="22" t="s">
        <v>24</v>
      </c>
      <c r="U19" s="214">
        <f>U18*F25</f>
        <v>840</v>
      </c>
      <c r="V19" s="214"/>
      <c r="W19" s="215"/>
    </row>
    <row r="20" spans="1:23" ht="15.6" x14ac:dyDescent="0.3">
      <c r="A20" s="16"/>
      <c r="B20" s="47"/>
      <c r="C20" s="1"/>
      <c r="D20" s="1"/>
      <c r="E20" s="1"/>
      <c r="F20" s="1"/>
      <c r="G20" s="17"/>
      <c r="H20" s="48"/>
      <c r="I20" s="16"/>
      <c r="J20" s="47"/>
      <c r="K20" s="1"/>
      <c r="L20" s="1"/>
      <c r="M20" s="1"/>
      <c r="N20" s="1"/>
      <c r="O20" s="17"/>
      <c r="T20" s="37" t="s">
        <v>40</v>
      </c>
      <c r="U20" s="224">
        <f>U18*F77</f>
        <v>696</v>
      </c>
      <c r="V20" s="224"/>
      <c r="W20" s="225"/>
    </row>
    <row r="21" spans="1:23" ht="16.2" thickBot="1" x14ac:dyDescent="0.35">
      <c r="A21" s="16">
        <v>2</v>
      </c>
      <c r="B21" s="47"/>
      <c r="C21" s="1" t="s">
        <v>46</v>
      </c>
      <c r="D21" s="1" t="s">
        <v>39</v>
      </c>
      <c r="E21" s="32">
        <v>225</v>
      </c>
      <c r="F21" s="32">
        <v>225</v>
      </c>
      <c r="G21" s="53">
        <v>225</v>
      </c>
      <c r="H21" s="48"/>
      <c r="I21" s="16">
        <v>2</v>
      </c>
      <c r="J21" s="47"/>
      <c r="K21" s="1" t="s">
        <v>47</v>
      </c>
      <c r="L21" s="1" t="s">
        <v>39</v>
      </c>
      <c r="M21" s="32">
        <v>300</v>
      </c>
      <c r="N21" s="32">
        <v>300</v>
      </c>
      <c r="O21" s="53">
        <v>300</v>
      </c>
      <c r="T21" s="43" t="s">
        <v>43</v>
      </c>
      <c r="U21" s="218">
        <f>U18*F104</f>
        <v>600</v>
      </c>
      <c r="V21" s="218"/>
      <c r="W21" s="219"/>
    </row>
    <row r="22" spans="1:23" x14ac:dyDescent="0.3">
      <c r="A22" s="16"/>
      <c r="B22" s="47"/>
      <c r="C22" s="1"/>
      <c r="D22" s="1"/>
      <c r="E22" s="1"/>
      <c r="F22" s="1"/>
      <c r="G22" s="17"/>
      <c r="H22" s="48"/>
      <c r="I22" s="16"/>
      <c r="J22" s="47"/>
      <c r="K22" s="1"/>
      <c r="L22" s="1"/>
      <c r="M22" s="1"/>
      <c r="N22" s="1"/>
      <c r="O22" s="17"/>
    </row>
    <row r="23" spans="1:23" x14ac:dyDescent="0.3">
      <c r="A23" s="16">
        <v>3</v>
      </c>
      <c r="B23" s="1"/>
      <c r="C23" s="1" t="s">
        <v>49</v>
      </c>
      <c r="D23" s="1" t="s">
        <v>52</v>
      </c>
      <c r="E23" s="32">
        <v>225</v>
      </c>
      <c r="F23" s="32">
        <v>225</v>
      </c>
      <c r="G23" s="53">
        <v>225</v>
      </c>
      <c r="H23" s="48"/>
      <c r="I23" s="16">
        <v>3</v>
      </c>
      <c r="J23" s="1"/>
      <c r="K23" s="1" t="s">
        <v>49</v>
      </c>
      <c r="L23" s="1" t="s">
        <v>36</v>
      </c>
      <c r="M23" s="32">
        <v>300</v>
      </c>
      <c r="N23" s="32">
        <v>300</v>
      </c>
      <c r="O23" s="53">
        <v>300</v>
      </c>
    </row>
    <row r="24" spans="1:23" x14ac:dyDescent="0.3">
      <c r="A24" s="16"/>
      <c r="B24" s="1"/>
      <c r="C24" s="1"/>
      <c r="D24" s="1"/>
      <c r="E24" s="1"/>
      <c r="F24" s="1"/>
      <c r="G24" s="17"/>
      <c r="H24" s="48"/>
      <c r="I24" s="16"/>
      <c r="J24" s="1"/>
      <c r="K24" s="1"/>
      <c r="L24" s="1"/>
      <c r="M24" s="1"/>
      <c r="N24" s="1"/>
      <c r="O24" s="17"/>
    </row>
    <row r="25" spans="1:23" x14ac:dyDescent="0.3">
      <c r="A25" s="54"/>
      <c r="B25" s="55"/>
      <c r="C25" s="55"/>
      <c r="D25" s="55" t="s">
        <v>17</v>
      </c>
      <c r="E25" s="56">
        <f>SUM(E16:E23)+E18</f>
        <v>925</v>
      </c>
      <c r="F25" s="56">
        <f>SUM(F16:F23)+F18</f>
        <v>1400</v>
      </c>
      <c r="G25" s="57">
        <f>SUM(G16:G23)+G18</f>
        <v>1755</v>
      </c>
      <c r="H25" s="48"/>
      <c r="I25" s="54"/>
      <c r="J25" s="55"/>
      <c r="K25" s="55"/>
      <c r="L25" s="55" t="s">
        <v>53</v>
      </c>
      <c r="M25" s="56" t="e">
        <f>SUM(M16:M23)+#REF!</f>
        <v>#REF!</v>
      </c>
      <c r="N25" s="56" t="e">
        <f>SUM(N16:N23)+#REF!</f>
        <v>#REF!</v>
      </c>
      <c r="O25" s="57" t="e">
        <f>SUM(O16:O23)+#REF!</f>
        <v>#REF!</v>
      </c>
    </row>
    <row r="26" spans="1:23" x14ac:dyDescent="0.3">
      <c r="H26" s="48"/>
    </row>
    <row r="27" spans="1:23" ht="18" x14ac:dyDescent="0.35">
      <c r="A27" s="9"/>
      <c r="B27" s="10"/>
      <c r="C27" s="11" t="s">
        <v>22</v>
      </c>
      <c r="D27" s="11" t="s">
        <v>54</v>
      </c>
      <c r="E27" s="12" t="s">
        <v>23</v>
      </c>
      <c r="F27" s="12">
        <v>1500</v>
      </c>
      <c r="G27" s="13" t="s">
        <v>37</v>
      </c>
      <c r="H27" s="48"/>
      <c r="I27" s="9"/>
      <c r="J27" s="10"/>
      <c r="K27" s="11" t="s">
        <v>25</v>
      </c>
      <c r="L27" s="11" t="s">
        <v>55</v>
      </c>
      <c r="M27" s="12" t="s">
        <v>23</v>
      </c>
      <c r="N27" s="12">
        <v>2000</v>
      </c>
      <c r="O27" s="14"/>
    </row>
    <row r="28" spans="1:23" hidden="1" x14ac:dyDescent="0.3">
      <c r="A28" s="16" t="s">
        <v>30</v>
      </c>
      <c r="B28" s="1"/>
      <c r="C28" s="1" t="s">
        <v>31</v>
      </c>
      <c r="D28" s="1"/>
      <c r="E28" s="1"/>
      <c r="F28" s="1"/>
      <c r="G28" s="17"/>
      <c r="H28" s="48"/>
      <c r="I28" s="16" t="s">
        <v>30</v>
      </c>
      <c r="J28" s="1"/>
      <c r="K28" s="1" t="s">
        <v>31</v>
      </c>
      <c r="L28" s="1"/>
      <c r="M28" s="1"/>
      <c r="N28" s="1"/>
      <c r="O28" s="17"/>
    </row>
    <row r="29" spans="1:23" hidden="1" x14ac:dyDescent="0.3">
      <c r="A29" s="16" t="s">
        <v>33</v>
      </c>
      <c r="B29" s="1"/>
      <c r="C29" s="1" t="s">
        <v>34</v>
      </c>
      <c r="D29" s="1"/>
      <c r="E29" s="20">
        <v>0.9</v>
      </c>
      <c r="F29" s="20">
        <v>1</v>
      </c>
      <c r="G29" s="21">
        <v>1.1499999999999999</v>
      </c>
      <c r="H29" s="48"/>
      <c r="I29" s="16" t="s">
        <v>33</v>
      </c>
      <c r="J29" s="1"/>
      <c r="K29" s="1" t="s">
        <v>34</v>
      </c>
      <c r="L29" s="1"/>
      <c r="M29" s="20">
        <v>0.9</v>
      </c>
      <c r="N29" s="20">
        <v>1</v>
      </c>
      <c r="O29" s="21">
        <v>1.1499999999999999</v>
      </c>
    </row>
    <row r="30" spans="1:23" hidden="1" x14ac:dyDescent="0.3">
      <c r="A30" s="16"/>
      <c r="B30" s="1"/>
      <c r="C30" s="1" t="s">
        <v>35</v>
      </c>
      <c r="D30" s="1" t="s">
        <v>36</v>
      </c>
      <c r="E30" s="20">
        <v>0.05</v>
      </c>
      <c r="F30" s="20">
        <v>0.1</v>
      </c>
      <c r="G30" s="21">
        <v>0.15</v>
      </c>
      <c r="H30" s="48"/>
      <c r="I30" s="16"/>
      <c r="J30" s="1"/>
      <c r="K30" s="1" t="s">
        <v>35</v>
      </c>
      <c r="L30" s="1" t="s">
        <v>36</v>
      </c>
      <c r="M30" s="20">
        <v>0.05</v>
      </c>
      <c r="N30" s="20">
        <v>0.1</v>
      </c>
      <c r="O30" s="21">
        <v>0.15</v>
      </c>
    </row>
    <row r="31" spans="1:23" hidden="1" x14ac:dyDescent="0.3">
      <c r="A31" s="16"/>
      <c r="B31" s="1"/>
      <c r="C31" s="1" t="s">
        <v>38</v>
      </c>
      <c r="D31" s="1" t="s">
        <v>39</v>
      </c>
      <c r="E31" s="20">
        <v>6.25E-2</v>
      </c>
      <c r="F31" s="20">
        <v>0.125</v>
      </c>
      <c r="G31" s="21">
        <v>0.15</v>
      </c>
      <c r="H31" s="59"/>
      <c r="I31" s="16"/>
      <c r="J31" s="1"/>
      <c r="K31" s="1" t="s">
        <v>38</v>
      </c>
      <c r="L31" s="1" t="s">
        <v>39</v>
      </c>
      <c r="M31" s="34">
        <v>6.25E-2</v>
      </c>
      <c r="N31" s="34">
        <v>0.125</v>
      </c>
      <c r="O31" s="58">
        <v>0.15</v>
      </c>
    </row>
    <row r="32" spans="1:23" hidden="1" x14ac:dyDescent="0.3">
      <c r="A32" s="16"/>
      <c r="B32" s="1"/>
      <c r="C32" s="1" t="s">
        <v>41</v>
      </c>
      <c r="D32" s="1" t="s">
        <v>42</v>
      </c>
      <c r="E32" s="20">
        <v>0.125</v>
      </c>
      <c r="F32" s="20">
        <v>0.25</v>
      </c>
      <c r="G32" s="21">
        <v>0.3</v>
      </c>
      <c r="H32" s="59"/>
      <c r="I32" s="16"/>
      <c r="J32" s="1"/>
      <c r="K32" s="1" t="s">
        <v>41</v>
      </c>
      <c r="L32" s="1" t="s">
        <v>42</v>
      </c>
      <c r="M32" s="34">
        <v>0.125</v>
      </c>
      <c r="N32" s="34">
        <v>0.25</v>
      </c>
      <c r="O32" s="58">
        <v>0.3</v>
      </c>
    </row>
    <row r="33" spans="1:15" hidden="1" x14ac:dyDescent="0.3">
      <c r="A33" s="16"/>
      <c r="B33" s="1"/>
      <c r="C33" s="1" t="s">
        <v>44</v>
      </c>
      <c r="D33" s="1" t="s">
        <v>45</v>
      </c>
      <c r="E33" s="20">
        <v>6.25E-2</v>
      </c>
      <c r="F33" s="20">
        <v>0.125</v>
      </c>
      <c r="G33" s="21">
        <v>0.15</v>
      </c>
      <c r="H33" s="59"/>
      <c r="I33" s="16"/>
      <c r="J33" s="1"/>
      <c r="K33" s="1" t="s">
        <v>44</v>
      </c>
      <c r="L33" s="1" t="s">
        <v>45</v>
      </c>
      <c r="M33" s="34">
        <v>6.25E-2</v>
      </c>
      <c r="N33" s="20">
        <v>0.125</v>
      </c>
      <c r="O33" s="21">
        <v>0.15</v>
      </c>
    </row>
    <row r="34" spans="1:15" hidden="1" x14ac:dyDescent="0.3">
      <c r="A34" s="16"/>
      <c r="B34" s="1"/>
      <c r="C34" s="1"/>
      <c r="D34" s="1"/>
      <c r="E34" s="20"/>
      <c r="F34" s="20"/>
      <c r="G34" s="21"/>
      <c r="H34" s="59"/>
      <c r="I34" s="16"/>
      <c r="J34" s="1"/>
      <c r="K34" s="1"/>
      <c r="L34" s="1"/>
      <c r="M34" s="34"/>
      <c r="N34" s="20"/>
      <c r="O34" s="21"/>
    </row>
    <row r="35" spans="1:15" hidden="1" x14ac:dyDescent="0.3">
      <c r="A35" s="16"/>
      <c r="B35" s="47"/>
      <c r="C35" s="1"/>
      <c r="D35" s="1"/>
      <c r="E35" s="1"/>
      <c r="F35" s="1"/>
      <c r="G35" s="17"/>
      <c r="H35" s="48"/>
      <c r="I35" s="16"/>
      <c r="J35" s="47"/>
      <c r="K35" s="1"/>
      <c r="L35" s="1"/>
      <c r="M35" s="1"/>
      <c r="N35" s="1"/>
      <c r="O35" s="17"/>
    </row>
    <row r="36" spans="1:15" hidden="1" x14ac:dyDescent="0.3">
      <c r="A36" s="16">
        <v>2</v>
      </c>
      <c r="B36" s="47"/>
      <c r="C36" s="1" t="s">
        <v>46</v>
      </c>
      <c r="D36" s="1" t="s">
        <v>39</v>
      </c>
      <c r="E36" s="20">
        <v>0.15</v>
      </c>
      <c r="F36" s="20">
        <v>0.15</v>
      </c>
      <c r="G36" s="21">
        <v>0.15</v>
      </c>
      <c r="H36" s="48"/>
      <c r="I36" s="16">
        <v>2</v>
      </c>
      <c r="J36" s="47"/>
      <c r="K36" s="1" t="s">
        <v>47</v>
      </c>
      <c r="L36" s="1" t="s">
        <v>39</v>
      </c>
      <c r="M36" s="20">
        <v>0.15</v>
      </c>
      <c r="N36" s="20">
        <v>0.15</v>
      </c>
      <c r="O36" s="21">
        <v>0.15</v>
      </c>
    </row>
    <row r="37" spans="1:15" hidden="1" x14ac:dyDescent="0.3">
      <c r="A37" s="16"/>
      <c r="B37" s="47"/>
      <c r="C37" s="1"/>
      <c r="D37" s="1"/>
      <c r="E37" s="1"/>
      <c r="F37" s="1"/>
      <c r="G37" s="17"/>
      <c r="H37" s="48"/>
      <c r="I37" s="16"/>
      <c r="J37" s="47"/>
      <c r="K37" s="1"/>
      <c r="L37" s="1"/>
      <c r="M37" s="1"/>
      <c r="N37" s="1"/>
      <c r="O37" s="17"/>
    </row>
    <row r="38" spans="1:15" hidden="1" x14ac:dyDescent="0.3">
      <c r="A38" s="16">
        <v>3</v>
      </c>
      <c r="B38" s="1"/>
      <c r="C38" s="1" t="s">
        <v>49</v>
      </c>
      <c r="D38" s="1" t="s">
        <v>36</v>
      </c>
      <c r="E38" s="20">
        <v>0.15</v>
      </c>
      <c r="F38" s="20">
        <v>0.15</v>
      </c>
      <c r="G38" s="21">
        <v>0.15</v>
      </c>
      <c r="H38" s="48"/>
      <c r="I38" s="16">
        <v>3</v>
      </c>
      <c r="J38" s="1"/>
      <c r="K38" s="1" t="s">
        <v>49</v>
      </c>
      <c r="L38" s="1" t="s">
        <v>36</v>
      </c>
      <c r="M38" s="20">
        <v>0.15</v>
      </c>
      <c r="N38" s="20">
        <v>0.15</v>
      </c>
      <c r="O38" s="21">
        <v>0.15</v>
      </c>
    </row>
    <row r="39" spans="1:15" hidden="1" x14ac:dyDescent="0.3">
      <c r="A39" s="16"/>
      <c r="B39" s="1"/>
      <c r="C39" s="1"/>
      <c r="D39" s="1"/>
      <c r="E39" s="20">
        <v>0.6</v>
      </c>
      <c r="F39" s="20">
        <v>0.9</v>
      </c>
      <c r="G39" s="21">
        <v>1.05</v>
      </c>
      <c r="H39" s="48"/>
      <c r="I39" s="16"/>
      <c r="J39" s="1"/>
      <c r="K39" s="1"/>
      <c r="L39" s="1"/>
      <c r="M39" s="20">
        <v>0.6</v>
      </c>
      <c r="N39" s="20">
        <v>0.9</v>
      </c>
      <c r="O39" s="21">
        <v>1.05</v>
      </c>
    </row>
    <row r="40" spans="1:15" x14ac:dyDescent="0.3">
      <c r="A40" s="16" t="s">
        <v>30</v>
      </c>
      <c r="B40" s="1"/>
      <c r="C40" s="1" t="s">
        <v>31</v>
      </c>
      <c r="D40" s="1"/>
      <c r="E40" s="1"/>
      <c r="F40" s="1"/>
      <c r="G40" s="17"/>
      <c r="H40" s="48"/>
      <c r="I40" s="16" t="s">
        <v>30</v>
      </c>
      <c r="J40" s="1"/>
      <c r="K40" s="1" t="s">
        <v>31</v>
      </c>
      <c r="L40" s="1"/>
      <c r="M40" s="1"/>
      <c r="N40" s="1"/>
      <c r="O40" s="17"/>
    </row>
    <row r="41" spans="1:15" x14ac:dyDescent="0.3">
      <c r="A41" s="16" t="s">
        <v>33</v>
      </c>
      <c r="B41" s="1"/>
      <c r="C41" s="1" t="s">
        <v>34</v>
      </c>
      <c r="D41" s="1"/>
      <c r="E41" s="20">
        <v>0.9</v>
      </c>
      <c r="F41" s="20">
        <v>1</v>
      </c>
      <c r="G41" s="21">
        <v>1.1499999999999999</v>
      </c>
      <c r="H41" s="48"/>
      <c r="I41" s="16" t="s">
        <v>33</v>
      </c>
      <c r="J41" s="1"/>
      <c r="K41" s="1" t="s">
        <v>34</v>
      </c>
      <c r="L41" s="1"/>
      <c r="M41" s="20">
        <v>0.9</v>
      </c>
      <c r="N41" s="20">
        <v>1</v>
      </c>
      <c r="O41" s="21">
        <v>1.1499999999999999</v>
      </c>
    </row>
    <row r="42" spans="1:15" x14ac:dyDescent="0.3">
      <c r="A42" s="16"/>
      <c r="B42" s="1"/>
      <c r="C42" s="1" t="s">
        <v>35</v>
      </c>
      <c r="D42" s="1" t="s">
        <v>36</v>
      </c>
      <c r="E42" s="32">
        <v>75</v>
      </c>
      <c r="F42" s="32">
        <v>150</v>
      </c>
      <c r="G42" s="53">
        <v>225</v>
      </c>
      <c r="H42" s="48"/>
      <c r="I42" s="16"/>
      <c r="J42" s="1"/>
      <c r="K42" s="1" t="s">
        <v>35</v>
      </c>
      <c r="L42" s="1" t="s">
        <v>36</v>
      </c>
      <c r="M42" s="32">
        <v>100</v>
      </c>
      <c r="N42" s="32">
        <v>200</v>
      </c>
      <c r="O42" s="53">
        <v>300</v>
      </c>
    </row>
    <row r="43" spans="1:15" x14ac:dyDescent="0.3">
      <c r="A43" s="16"/>
      <c r="B43" s="1"/>
      <c r="C43" s="1" t="s">
        <v>38</v>
      </c>
      <c r="D43" s="1" t="s">
        <v>39</v>
      </c>
      <c r="E43" s="32">
        <v>85</v>
      </c>
      <c r="F43" s="32">
        <v>170</v>
      </c>
      <c r="G43" s="53">
        <v>200</v>
      </c>
      <c r="H43" s="60"/>
      <c r="I43" s="16"/>
      <c r="J43" s="1"/>
      <c r="K43" s="1" t="s">
        <v>38</v>
      </c>
      <c r="L43" s="1" t="s">
        <v>39</v>
      </c>
      <c r="M43" s="32">
        <f>N43/2</f>
        <v>112.5</v>
      </c>
      <c r="N43" s="32">
        <v>225</v>
      </c>
      <c r="O43" s="53">
        <v>270</v>
      </c>
    </row>
    <row r="44" spans="1:15" x14ac:dyDescent="0.3">
      <c r="A44" s="16"/>
      <c r="B44" s="1"/>
      <c r="C44" s="1" t="s">
        <v>41</v>
      </c>
      <c r="D44" s="1" t="s">
        <v>42</v>
      </c>
      <c r="E44" s="32">
        <v>85</v>
      </c>
      <c r="F44" s="32">
        <v>170</v>
      </c>
      <c r="G44" s="53">
        <v>200</v>
      </c>
      <c r="H44" s="60"/>
      <c r="I44" s="16"/>
      <c r="J44" s="1"/>
      <c r="K44" s="1" t="s">
        <v>41</v>
      </c>
      <c r="L44" s="1" t="s">
        <v>42</v>
      </c>
      <c r="M44" s="32">
        <f>N44/2</f>
        <v>112.5</v>
      </c>
      <c r="N44" s="32">
        <v>225</v>
      </c>
      <c r="O44" s="53">
        <v>270</v>
      </c>
    </row>
    <row r="45" spans="1:15" x14ac:dyDescent="0.3">
      <c r="A45" s="16"/>
      <c r="B45" s="1"/>
      <c r="C45" s="1" t="s">
        <v>44</v>
      </c>
      <c r="D45" s="1" t="s">
        <v>45</v>
      </c>
      <c r="E45" s="32">
        <v>85</v>
      </c>
      <c r="F45" s="32">
        <v>170</v>
      </c>
      <c r="G45" s="53">
        <v>200</v>
      </c>
      <c r="H45" s="60"/>
      <c r="I45" s="16"/>
      <c r="J45" s="1"/>
      <c r="K45" s="1" t="s">
        <v>44</v>
      </c>
      <c r="L45" s="1" t="s">
        <v>45</v>
      </c>
      <c r="M45" s="32">
        <f>N45/2</f>
        <v>112.5</v>
      </c>
      <c r="N45" s="32">
        <v>225</v>
      </c>
      <c r="O45" s="53">
        <v>270</v>
      </c>
    </row>
    <row r="46" spans="1:15" x14ac:dyDescent="0.3">
      <c r="A46" s="16"/>
      <c r="B46" s="47"/>
      <c r="C46" s="1"/>
      <c r="D46" s="1"/>
      <c r="E46" s="1"/>
      <c r="F46" s="1"/>
      <c r="G46" s="17"/>
      <c r="H46" s="48"/>
      <c r="I46" s="16"/>
      <c r="J46" s="47"/>
      <c r="K46" s="1"/>
      <c r="L46" s="1"/>
      <c r="M46" s="1"/>
      <c r="N46" s="1"/>
      <c r="O46" s="17"/>
    </row>
    <row r="47" spans="1:15" x14ac:dyDescent="0.3">
      <c r="A47" s="16">
        <v>2</v>
      </c>
      <c r="B47" s="47"/>
      <c r="C47" s="1" t="s">
        <v>46</v>
      </c>
      <c r="D47" s="1" t="s">
        <v>39</v>
      </c>
      <c r="E47" s="32">
        <v>225</v>
      </c>
      <c r="F47" s="32">
        <v>225</v>
      </c>
      <c r="G47" s="53">
        <v>225</v>
      </c>
      <c r="H47" s="48"/>
      <c r="I47" s="16">
        <v>2</v>
      </c>
      <c r="J47" s="47"/>
      <c r="K47" s="1" t="s">
        <v>47</v>
      </c>
      <c r="L47" s="1" t="s">
        <v>39</v>
      </c>
      <c r="M47" s="32">
        <v>300</v>
      </c>
      <c r="N47" s="32">
        <v>300</v>
      </c>
      <c r="O47" s="53">
        <v>300</v>
      </c>
    </row>
    <row r="48" spans="1:15" x14ac:dyDescent="0.3">
      <c r="A48" s="16"/>
      <c r="B48" s="47"/>
      <c r="C48" s="1"/>
      <c r="D48" s="1"/>
      <c r="E48" s="1"/>
      <c r="F48" s="1"/>
      <c r="G48" s="17"/>
      <c r="H48" s="48"/>
      <c r="I48" s="16"/>
      <c r="J48" s="47"/>
      <c r="K48" s="1"/>
      <c r="L48" s="1"/>
      <c r="M48" s="1"/>
      <c r="N48" s="1"/>
      <c r="O48" s="17"/>
    </row>
    <row r="49" spans="1:15" x14ac:dyDescent="0.3">
      <c r="A49" s="16">
        <v>3</v>
      </c>
      <c r="B49" s="1"/>
      <c r="C49" s="1" t="s">
        <v>49</v>
      </c>
      <c r="D49" s="1" t="s">
        <v>36</v>
      </c>
      <c r="E49" s="32">
        <v>225</v>
      </c>
      <c r="F49" s="32">
        <v>225</v>
      </c>
      <c r="G49" s="53">
        <v>225</v>
      </c>
      <c r="H49" s="48"/>
      <c r="I49" s="16">
        <v>3</v>
      </c>
      <c r="J49" s="1"/>
      <c r="K49" s="1" t="s">
        <v>49</v>
      </c>
      <c r="L49" s="1" t="s">
        <v>36</v>
      </c>
      <c r="M49" s="32">
        <v>300</v>
      </c>
      <c r="N49" s="32">
        <v>300</v>
      </c>
      <c r="O49" s="53">
        <v>300</v>
      </c>
    </row>
    <row r="50" spans="1:15" x14ac:dyDescent="0.3">
      <c r="A50" s="16"/>
      <c r="B50" s="1"/>
      <c r="C50" s="1"/>
      <c r="D50" s="1"/>
      <c r="E50" s="1"/>
      <c r="F50" s="1"/>
      <c r="G50" s="17"/>
      <c r="H50" s="48"/>
      <c r="I50" s="16"/>
      <c r="J50" s="1"/>
      <c r="K50" s="1"/>
      <c r="L50" s="1"/>
      <c r="M50" s="1"/>
      <c r="N50" s="1"/>
      <c r="O50" s="17"/>
    </row>
    <row r="51" spans="1:15" x14ac:dyDescent="0.3">
      <c r="A51" s="54"/>
      <c r="B51" s="55"/>
      <c r="C51" s="55"/>
      <c r="D51" s="55" t="s">
        <v>53</v>
      </c>
      <c r="E51" s="56">
        <f>SUM(E42:E49)+E44</f>
        <v>865</v>
      </c>
      <c r="F51" s="56">
        <f>SUM(F42:F49)+F44</f>
        <v>1280</v>
      </c>
      <c r="G51" s="57">
        <f>SUM(G42:G49)+G44</f>
        <v>1475</v>
      </c>
      <c r="H51" s="48"/>
      <c r="I51" s="54"/>
      <c r="J51" s="55"/>
      <c r="K51" s="55"/>
      <c r="L51" s="55" t="s">
        <v>53</v>
      </c>
      <c r="M51" s="56" t="e">
        <f>SUM(M42:M49)+#REF!</f>
        <v>#REF!</v>
      </c>
      <c r="N51" s="56" t="e">
        <f>SUM(N42:N49)+#REF!</f>
        <v>#REF!</v>
      </c>
      <c r="O51" s="57" t="e">
        <f>SUM(O42:O49)+#REF!</f>
        <v>#REF!</v>
      </c>
    </row>
    <row r="52" spans="1:15" x14ac:dyDescent="0.3">
      <c r="H52" s="48"/>
    </row>
    <row r="53" spans="1:15" ht="18" x14ac:dyDescent="0.35">
      <c r="A53" s="9"/>
      <c r="B53" s="10"/>
      <c r="C53" s="11" t="s">
        <v>22</v>
      </c>
      <c r="D53" s="11" t="s">
        <v>364</v>
      </c>
      <c r="E53" s="12" t="s">
        <v>23</v>
      </c>
      <c r="F53" s="12">
        <v>1500</v>
      </c>
      <c r="G53" s="13" t="s">
        <v>40</v>
      </c>
      <c r="H53" s="48"/>
      <c r="I53" s="9"/>
      <c r="J53" s="10"/>
      <c r="K53" s="11" t="s">
        <v>25</v>
      </c>
      <c r="L53" s="11" t="s">
        <v>56</v>
      </c>
      <c r="M53" s="12" t="s">
        <v>23</v>
      </c>
      <c r="N53" s="12">
        <v>200</v>
      </c>
      <c r="O53" s="14"/>
    </row>
    <row r="54" spans="1:15" hidden="1" x14ac:dyDescent="0.3">
      <c r="A54" s="16" t="s">
        <v>30</v>
      </c>
      <c r="B54" s="1"/>
      <c r="C54" s="1" t="s">
        <v>31</v>
      </c>
      <c r="D54" s="1"/>
      <c r="E54" s="1"/>
      <c r="F54" s="1"/>
      <c r="G54" s="17"/>
      <c r="H54" s="48"/>
      <c r="I54" s="16" t="s">
        <v>30</v>
      </c>
      <c r="J54" s="1"/>
      <c r="K54" s="1" t="s">
        <v>31</v>
      </c>
      <c r="L54" s="1"/>
      <c r="M54" s="1"/>
      <c r="N54" s="1"/>
      <c r="O54" s="17"/>
    </row>
    <row r="55" spans="1:15" hidden="1" x14ac:dyDescent="0.3">
      <c r="A55" s="16" t="s">
        <v>33</v>
      </c>
      <c r="B55" s="1"/>
      <c r="C55" s="1" t="s">
        <v>34</v>
      </c>
      <c r="D55" s="1"/>
      <c r="E55" s="20">
        <v>0.9</v>
      </c>
      <c r="F55" s="20">
        <v>1</v>
      </c>
      <c r="G55" s="21">
        <v>1.1499999999999999</v>
      </c>
      <c r="H55" s="48"/>
      <c r="I55" s="16" t="s">
        <v>33</v>
      </c>
      <c r="J55" s="1"/>
      <c r="K55" s="1" t="s">
        <v>34</v>
      </c>
      <c r="L55" s="1"/>
      <c r="M55" s="20">
        <v>0.9</v>
      </c>
      <c r="N55" s="20">
        <v>1</v>
      </c>
      <c r="O55" s="21">
        <v>1.1499999999999999</v>
      </c>
    </row>
    <row r="56" spans="1:15" hidden="1" x14ac:dyDescent="0.3">
      <c r="A56" s="16"/>
      <c r="B56" s="1"/>
      <c r="C56" s="1" t="s">
        <v>35</v>
      </c>
      <c r="D56" s="1" t="s">
        <v>36</v>
      </c>
      <c r="E56" s="20">
        <f t="shared" ref="E56:G59" si="1">E68/$F$77</f>
        <v>6.4655172413793108E-2</v>
      </c>
      <c r="F56" s="20">
        <f t="shared" si="1"/>
        <v>0.12931034482758622</v>
      </c>
      <c r="G56" s="21">
        <f t="shared" si="1"/>
        <v>0.19396551724137931</v>
      </c>
      <c r="H56" s="48"/>
      <c r="I56" s="16"/>
      <c r="J56" s="1"/>
      <c r="K56" s="1" t="s">
        <v>35</v>
      </c>
      <c r="L56" s="1" t="s">
        <v>36</v>
      </c>
      <c r="M56" s="20">
        <v>0.05</v>
      </c>
      <c r="N56" s="20">
        <v>0.1</v>
      </c>
      <c r="O56" s="21">
        <v>0.15</v>
      </c>
    </row>
    <row r="57" spans="1:15" hidden="1" x14ac:dyDescent="0.3">
      <c r="A57" s="16"/>
      <c r="B57" s="1"/>
      <c r="C57" s="1" t="s">
        <v>38</v>
      </c>
      <c r="D57" s="1" t="s">
        <v>39</v>
      </c>
      <c r="E57" s="20">
        <f t="shared" si="1"/>
        <v>6.0344827586206899E-2</v>
      </c>
      <c r="F57" s="20">
        <f t="shared" si="1"/>
        <v>0.1206896551724138</v>
      </c>
      <c r="G57" s="21">
        <f t="shared" si="1"/>
        <v>0.15086206896551724</v>
      </c>
      <c r="H57" s="35"/>
      <c r="I57" s="16"/>
      <c r="J57" s="1"/>
      <c r="K57" s="1" t="s">
        <v>38</v>
      </c>
      <c r="L57" s="1" t="s">
        <v>39</v>
      </c>
      <c r="M57" s="34">
        <v>0.05</v>
      </c>
      <c r="N57" s="20">
        <v>0.1</v>
      </c>
      <c r="O57" s="58">
        <v>0.125</v>
      </c>
    </row>
    <row r="58" spans="1:15" hidden="1" x14ac:dyDescent="0.3">
      <c r="A58" s="16"/>
      <c r="B58" s="1"/>
      <c r="C58" s="1" t="s">
        <v>41</v>
      </c>
      <c r="D58" s="1" t="s">
        <v>42</v>
      </c>
      <c r="E58" s="20">
        <f t="shared" si="1"/>
        <v>6.0344827586206899E-2</v>
      </c>
      <c r="F58" s="20">
        <f t="shared" si="1"/>
        <v>0.1206896551724138</v>
      </c>
      <c r="G58" s="21">
        <f t="shared" si="1"/>
        <v>0.15086206896551724</v>
      </c>
      <c r="H58" s="35"/>
      <c r="I58" s="16"/>
      <c r="J58" s="1"/>
      <c r="K58" s="1" t="s">
        <v>41</v>
      </c>
      <c r="L58" s="1" t="s">
        <v>42</v>
      </c>
      <c r="M58" s="34">
        <v>0.1</v>
      </c>
      <c r="N58" s="20">
        <v>0.2</v>
      </c>
      <c r="O58" s="58">
        <v>0.25</v>
      </c>
    </row>
    <row r="59" spans="1:15" hidden="1" x14ac:dyDescent="0.3">
      <c r="A59" s="16"/>
      <c r="B59" s="1"/>
      <c r="C59" s="1" t="s">
        <v>44</v>
      </c>
      <c r="D59" s="1" t="s">
        <v>45</v>
      </c>
      <c r="E59" s="20">
        <f t="shared" si="1"/>
        <v>6.0344827586206899E-2</v>
      </c>
      <c r="F59" s="20">
        <f t="shared" si="1"/>
        <v>0.1206896551724138</v>
      </c>
      <c r="G59" s="21">
        <f t="shared" si="1"/>
        <v>0.15086206896551724</v>
      </c>
      <c r="H59" s="35"/>
      <c r="I59" s="16"/>
      <c r="J59" s="1"/>
      <c r="K59" s="1"/>
      <c r="L59" s="1"/>
      <c r="M59" s="34"/>
      <c r="N59" s="20"/>
      <c r="O59" s="58"/>
    </row>
    <row r="60" spans="1:15" hidden="1" x14ac:dyDescent="0.3">
      <c r="A60" s="16"/>
      <c r="B60" s="1"/>
      <c r="C60" s="1"/>
      <c r="D60" s="1"/>
      <c r="E60" s="20"/>
      <c r="F60" s="20"/>
      <c r="G60" s="21"/>
      <c r="H60" s="35"/>
      <c r="I60" s="16"/>
      <c r="J60" s="1"/>
      <c r="K60" s="1"/>
      <c r="L60" s="1"/>
      <c r="M60" s="34"/>
      <c r="N60" s="20"/>
      <c r="O60" s="58"/>
    </row>
    <row r="61" spans="1:15" hidden="1" x14ac:dyDescent="0.3">
      <c r="A61" s="16"/>
      <c r="B61" s="47"/>
      <c r="C61" s="1"/>
      <c r="D61" s="1"/>
      <c r="E61" s="1"/>
      <c r="F61" s="1"/>
      <c r="G61" s="17"/>
      <c r="H61" s="48"/>
      <c r="I61" s="16"/>
      <c r="J61" s="47"/>
      <c r="K61" s="1"/>
      <c r="L61" s="1"/>
      <c r="M61" s="1"/>
      <c r="N61" s="1"/>
      <c r="O61" s="17"/>
    </row>
    <row r="62" spans="1:15" hidden="1" x14ac:dyDescent="0.3">
      <c r="A62" s="16">
        <v>2</v>
      </c>
      <c r="B62" s="47"/>
      <c r="C62" s="1" t="s">
        <v>46</v>
      </c>
      <c r="D62" s="1" t="s">
        <v>39</v>
      </c>
      <c r="E62" s="20">
        <f>E73/$F$77</f>
        <v>0.19396551724137931</v>
      </c>
      <c r="F62" s="20">
        <f>F73/$F$77</f>
        <v>0.19396551724137931</v>
      </c>
      <c r="G62" s="21">
        <f>G73/$F$77</f>
        <v>0.19396551724137931</v>
      </c>
      <c r="H62" s="48"/>
      <c r="I62" s="16">
        <v>2</v>
      </c>
      <c r="J62" s="47"/>
      <c r="K62" s="1" t="s">
        <v>47</v>
      </c>
      <c r="L62" s="1" t="s">
        <v>39</v>
      </c>
      <c r="M62" s="20">
        <v>0.15</v>
      </c>
      <c r="N62" s="20">
        <v>0.15</v>
      </c>
      <c r="O62" s="21">
        <v>0.15</v>
      </c>
    </row>
    <row r="63" spans="1:15" hidden="1" x14ac:dyDescent="0.3">
      <c r="A63" s="16"/>
      <c r="B63" s="47"/>
      <c r="C63" s="1"/>
      <c r="D63" s="1"/>
      <c r="E63" s="1"/>
      <c r="F63" s="1"/>
      <c r="G63" s="17"/>
      <c r="H63" s="48"/>
      <c r="I63" s="16"/>
      <c r="J63" s="47"/>
      <c r="K63" s="1"/>
      <c r="L63" s="1"/>
      <c r="M63" s="1"/>
      <c r="N63" s="1"/>
      <c r="O63" s="17"/>
    </row>
    <row r="64" spans="1:15" hidden="1" x14ac:dyDescent="0.3">
      <c r="A64" s="16">
        <v>3</v>
      </c>
      <c r="B64" s="1"/>
      <c r="C64" s="1" t="s">
        <v>49</v>
      </c>
      <c r="D64" s="1" t="s">
        <v>36</v>
      </c>
      <c r="E64" s="20">
        <f>E75/$F$77</f>
        <v>0.19396551724137931</v>
      </c>
      <c r="F64" s="20">
        <f>F75/$F$77</f>
        <v>0.19396551724137931</v>
      </c>
      <c r="G64" s="21">
        <f>G75/$F$77</f>
        <v>0.19396551724137931</v>
      </c>
      <c r="H64" s="48"/>
      <c r="I64" s="16">
        <v>3</v>
      </c>
      <c r="J64" s="1"/>
      <c r="K64" s="1" t="s">
        <v>49</v>
      </c>
      <c r="L64" s="1" t="s">
        <v>36</v>
      </c>
      <c r="M64" s="20">
        <v>0.15</v>
      </c>
      <c r="N64" s="20">
        <v>0.15</v>
      </c>
      <c r="O64" s="21">
        <v>0.15</v>
      </c>
    </row>
    <row r="65" spans="1:15" hidden="1" x14ac:dyDescent="0.3">
      <c r="A65" s="16"/>
      <c r="B65" s="1"/>
      <c r="C65" s="1"/>
      <c r="D65" s="1"/>
      <c r="E65" s="20">
        <f>SUM(E56:E64)</f>
        <v>0.63362068965517249</v>
      </c>
      <c r="F65" s="20">
        <f>SUM(F56:F64)</f>
        <v>0.8793103448275863</v>
      </c>
      <c r="G65" s="21">
        <f>SUM(G56:G64)</f>
        <v>1.0344827586206897</v>
      </c>
      <c r="H65" s="48"/>
      <c r="I65" s="16"/>
      <c r="J65" s="1"/>
      <c r="K65" s="1"/>
      <c r="L65" s="1"/>
      <c r="M65" s="20">
        <v>0.55000000000000004</v>
      </c>
      <c r="N65" s="20">
        <v>0.8</v>
      </c>
      <c r="O65" s="21">
        <v>0.95000000000000007</v>
      </c>
    </row>
    <row r="66" spans="1:15" x14ac:dyDescent="0.3">
      <c r="A66" s="16" t="s">
        <v>30</v>
      </c>
      <c r="B66" s="1"/>
      <c r="C66" s="1" t="s">
        <v>31</v>
      </c>
      <c r="D66" s="1"/>
      <c r="E66" s="1"/>
      <c r="F66" s="1"/>
      <c r="G66" s="17"/>
      <c r="H66" s="48"/>
      <c r="I66" s="16" t="s">
        <v>30</v>
      </c>
      <c r="J66" s="1"/>
      <c r="K66" s="1" t="s">
        <v>31</v>
      </c>
      <c r="L66" s="1"/>
      <c r="M66" s="1"/>
      <c r="N66" s="1"/>
      <c r="O66" s="17"/>
    </row>
    <row r="67" spans="1:15" x14ac:dyDescent="0.3">
      <c r="A67" s="16" t="s">
        <v>33</v>
      </c>
      <c r="B67" s="1"/>
      <c r="C67" s="1" t="s">
        <v>34</v>
      </c>
      <c r="D67" s="1"/>
      <c r="E67" s="20">
        <v>0.9</v>
      </c>
      <c r="F67" s="20">
        <v>1</v>
      </c>
      <c r="G67" s="21">
        <v>1.1499999999999999</v>
      </c>
      <c r="H67" s="48"/>
      <c r="I67" s="16" t="s">
        <v>33</v>
      </c>
      <c r="J67" s="1"/>
      <c r="K67" s="1" t="s">
        <v>34</v>
      </c>
      <c r="L67" s="1"/>
      <c r="M67" s="20">
        <v>0.9</v>
      </c>
      <c r="N67" s="20">
        <v>1</v>
      </c>
      <c r="O67" s="21">
        <v>1.1499999999999999</v>
      </c>
    </row>
    <row r="68" spans="1:15" x14ac:dyDescent="0.3">
      <c r="A68" s="16"/>
      <c r="B68" s="1"/>
      <c r="C68" s="1" t="s">
        <v>35</v>
      </c>
      <c r="D68" s="1" t="s">
        <v>36</v>
      </c>
      <c r="E68" s="32">
        <v>75</v>
      </c>
      <c r="F68" s="32">
        <v>150</v>
      </c>
      <c r="G68" s="53">
        <v>225</v>
      </c>
      <c r="H68" s="48"/>
      <c r="I68" s="16"/>
      <c r="J68" s="1"/>
      <c r="K68" s="1" t="s">
        <v>35</v>
      </c>
      <c r="L68" s="1" t="s">
        <v>36</v>
      </c>
      <c r="M68" s="32">
        <v>100</v>
      </c>
      <c r="N68" s="32">
        <v>200</v>
      </c>
      <c r="O68" s="53">
        <v>300</v>
      </c>
    </row>
    <row r="69" spans="1:15" x14ac:dyDescent="0.3">
      <c r="A69" s="16"/>
      <c r="B69" s="1"/>
      <c r="C69" s="1" t="s">
        <v>38</v>
      </c>
      <c r="D69" s="1" t="s">
        <v>39</v>
      </c>
      <c r="E69" s="32">
        <v>70</v>
      </c>
      <c r="F69" s="32">
        <v>140</v>
      </c>
      <c r="G69" s="53">
        <v>175</v>
      </c>
      <c r="H69" s="60"/>
      <c r="I69" s="16"/>
      <c r="J69" s="1"/>
      <c r="K69" s="1" t="s">
        <v>38</v>
      </c>
      <c r="L69" s="1" t="s">
        <v>39</v>
      </c>
      <c r="M69" s="32">
        <v>85</v>
      </c>
      <c r="N69" s="32">
        <v>170</v>
      </c>
      <c r="O69" s="53">
        <v>220</v>
      </c>
    </row>
    <row r="70" spans="1:15" x14ac:dyDescent="0.3">
      <c r="A70" s="16"/>
      <c r="B70" s="1"/>
      <c r="C70" s="1" t="s">
        <v>41</v>
      </c>
      <c r="D70" s="1" t="s">
        <v>42</v>
      </c>
      <c r="E70" s="32">
        <v>70</v>
      </c>
      <c r="F70" s="32">
        <v>140</v>
      </c>
      <c r="G70" s="53">
        <v>175</v>
      </c>
      <c r="H70" s="60"/>
      <c r="I70" s="16"/>
      <c r="J70" s="1"/>
      <c r="K70" s="1" t="s">
        <v>41</v>
      </c>
      <c r="L70" s="1" t="s">
        <v>42</v>
      </c>
      <c r="M70" s="32">
        <v>85</v>
      </c>
      <c r="N70" s="32">
        <v>170</v>
      </c>
      <c r="O70" s="53">
        <v>220</v>
      </c>
    </row>
    <row r="71" spans="1:15" x14ac:dyDescent="0.3">
      <c r="A71" s="16"/>
      <c r="B71" s="1"/>
      <c r="C71" s="1" t="s">
        <v>44</v>
      </c>
      <c r="D71" s="1" t="s">
        <v>45</v>
      </c>
      <c r="E71" s="32">
        <v>70</v>
      </c>
      <c r="F71" s="32">
        <v>140</v>
      </c>
      <c r="G71" s="53">
        <v>175</v>
      </c>
      <c r="H71" s="60"/>
      <c r="I71" s="16"/>
      <c r="J71" s="1"/>
      <c r="K71" s="1" t="s">
        <v>44</v>
      </c>
      <c r="L71" s="1" t="s">
        <v>45</v>
      </c>
      <c r="M71" s="32">
        <v>85</v>
      </c>
      <c r="N71" s="32">
        <v>170</v>
      </c>
      <c r="O71" s="53">
        <v>220</v>
      </c>
    </row>
    <row r="72" spans="1:15" x14ac:dyDescent="0.3">
      <c r="A72" s="16"/>
      <c r="B72" s="47"/>
      <c r="C72" s="1"/>
      <c r="D72" s="1"/>
      <c r="E72" s="1"/>
      <c r="F72" s="1"/>
      <c r="G72" s="17"/>
      <c r="H72" s="48"/>
      <c r="I72" s="16"/>
      <c r="J72" s="47"/>
      <c r="K72" s="1"/>
      <c r="L72" s="1"/>
      <c r="M72" s="1"/>
      <c r="N72" s="1"/>
      <c r="O72" s="17"/>
    </row>
    <row r="73" spans="1:15" x14ac:dyDescent="0.3">
      <c r="A73" s="16">
        <v>2</v>
      </c>
      <c r="B73" s="47"/>
      <c r="C73" s="1" t="s">
        <v>46</v>
      </c>
      <c r="D73" s="1" t="s">
        <v>39</v>
      </c>
      <c r="E73" s="32">
        <v>225</v>
      </c>
      <c r="F73" s="32">
        <v>225</v>
      </c>
      <c r="G73" s="53">
        <v>225</v>
      </c>
      <c r="H73" s="48"/>
      <c r="I73" s="16">
        <v>2</v>
      </c>
      <c r="J73" s="47"/>
      <c r="K73" s="1" t="s">
        <v>47</v>
      </c>
      <c r="L73" s="1" t="s">
        <v>39</v>
      </c>
      <c r="M73" s="32">
        <v>300</v>
      </c>
      <c r="N73" s="32">
        <v>300</v>
      </c>
      <c r="O73" s="53">
        <v>300</v>
      </c>
    </row>
    <row r="74" spans="1:15" x14ac:dyDescent="0.3">
      <c r="A74" s="16"/>
      <c r="B74" s="47"/>
      <c r="C74" s="1"/>
      <c r="D74" s="1"/>
      <c r="E74" s="1"/>
      <c r="F74" s="1"/>
      <c r="G74" s="17"/>
      <c r="H74" s="48"/>
      <c r="I74" s="16"/>
      <c r="J74" s="47"/>
      <c r="K74" s="1"/>
      <c r="L74" s="1"/>
      <c r="M74" s="1"/>
      <c r="N74" s="1"/>
      <c r="O74" s="17"/>
    </row>
    <row r="75" spans="1:15" x14ac:dyDescent="0.3">
      <c r="A75" s="16">
        <v>3</v>
      </c>
      <c r="B75" s="1"/>
      <c r="C75" s="1" t="s">
        <v>49</v>
      </c>
      <c r="D75" s="1" t="s">
        <v>36</v>
      </c>
      <c r="E75" s="32">
        <v>225</v>
      </c>
      <c r="F75" s="32">
        <v>225</v>
      </c>
      <c r="G75" s="53">
        <v>225</v>
      </c>
      <c r="H75" s="48"/>
      <c r="I75" s="16">
        <v>3</v>
      </c>
      <c r="J75" s="1"/>
      <c r="K75" s="1" t="s">
        <v>49</v>
      </c>
      <c r="L75" s="1" t="s">
        <v>36</v>
      </c>
      <c r="M75" s="32">
        <v>300</v>
      </c>
      <c r="N75" s="32">
        <v>300</v>
      </c>
      <c r="O75" s="53">
        <v>300</v>
      </c>
    </row>
    <row r="76" spans="1:15" x14ac:dyDescent="0.3">
      <c r="A76" s="16"/>
      <c r="B76" s="1"/>
      <c r="C76" s="1"/>
      <c r="D76" s="1"/>
      <c r="E76" s="1"/>
      <c r="F76" s="1"/>
      <c r="G76" s="17"/>
      <c r="H76" s="48"/>
      <c r="I76" s="16"/>
      <c r="J76" s="1"/>
      <c r="K76" s="1"/>
      <c r="L76" s="1"/>
      <c r="M76" s="1"/>
      <c r="N76" s="1"/>
      <c r="O76" s="17"/>
    </row>
    <row r="77" spans="1:15" x14ac:dyDescent="0.3">
      <c r="A77" s="54"/>
      <c r="B77" s="55"/>
      <c r="C77" s="55"/>
      <c r="D77" s="55" t="s">
        <v>17</v>
      </c>
      <c r="E77" s="56">
        <f>SUM(E68:E75)+E70</f>
        <v>805</v>
      </c>
      <c r="F77" s="56">
        <f>SUM(F68:F75)+F70</f>
        <v>1160</v>
      </c>
      <c r="G77" s="57">
        <f>SUM(G68:G75)+G70</f>
        <v>1375</v>
      </c>
      <c r="H77" s="48"/>
      <c r="I77" s="54"/>
      <c r="J77" s="55"/>
      <c r="K77" s="55"/>
      <c r="L77" s="55" t="s">
        <v>53</v>
      </c>
      <c r="M77" s="56" t="e">
        <f>SUM(M68:M75)+#REF!</f>
        <v>#REF!</v>
      </c>
      <c r="N77" s="56" t="e">
        <f>SUM(N68:N75)+#REF!</f>
        <v>#REF!</v>
      </c>
      <c r="O77" s="57" t="e">
        <f>SUM(O68:O75)+#REF!</f>
        <v>#REF!</v>
      </c>
    </row>
    <row r="78" spans="1:15" x14ac:dyDescent="0.3">
      <c r="H78" s="48"/>
      <c r="I78" s="48"/>
    </row>
    <row r="79" spans="1:15" ht="18" x14ac:dyDescent="0.35">
      <c r="A79" s="9"/>
      <c r="B79" s="10"/>
      <c r="C79" s="11" t="s">
        <v>22</v>
      </c>
      <c r="D79" s="11" t="s">
        <v>57</v>
      </c>
      <c r="E79" s="12" t="s">
        <v>23</v>
      </c>
      <c r="F79" s="12">
        <v>1500</v>
      </c>
      <c r="G79" s="13" t="s">
        <v>43</v>
      </c>
      <c r="H79" s="48"/>
      <c r="I79" s="48"/>
    </row>
    <row r="80" spans="1:15" hidden="1" x14ac:dyDescent="0.3">
      <c r="A80" s="16" t="s">
        <v>30</v>
      </c>
      <c r="B80" s="1"/>
      <c r="C80" s="1" t="s">
        <v>31</v>
      </c>
      <c r="D80" s="1"/>
      <c r="E80" s="1"/>
      <c r="F80" s="1"/>
      <c r="G80" s="17"/>
      <c r="H80" s="48"/>
      <c r="I80" s="48"/>
    </row>
    <row r="81" spans="1:12" hidden="1" x14ac:dyDescent="0.3">
      <c r="A81" s="16" t="s">
        <v>33</v>
      </c>
      <c r="B81" s="1"/>
      <c r="C81" s="1" t="s">
        <v>34</v>
      </c>
      <c r="D81" s="1"/>
      <c r="E81" s="20">
        <v>0.9</v>
      </c>
      <c r="F81" s="20">
        <v>1</v>
      </c>
      <c r="G81" s="21">
        <v>1.1499999999999999</v>
      </c>
      <c r="H81" s="48"/>
      <c r="I81" s="48"/>
    </row>
    <row r="82" spans="1:12" hidden="1" x14ac:dyDescent="0.3">
      <c r="A82" s="16"/>
      <c r="B82" s="1"/>
      <c r="C82" s="1" t="s">
        <v>35</v>
      </c>
      <c r="D82" s="1" t="s">
        <v>36</v>
      </c>
      <c r="E82" s="20">
        <v>0.05</v>
      </c>
      <c r="F82" s="20">
        <v>0.1</v>
      </c>
      <c r="G82" s="21">
        <v>0.15</v>
      </c>
      <c r="H82" s="48"/>
      <c r="I82" s="48"/>
    </row>
    <row r="83" spans="1:12" hidden="1" x14ac:dyDescent="0.3">
      <c r="A83" s="16"/>
      <c r="B83" s="1"/>
      <c r="C83" s="1" t="s">
        <v>38</v>
      </c>
      <c r="D83" s="1" t="s">
        <v>39</v>
      </c>
      <c r="E83" s="34">
        <v>3.7499999999999999E-2</v>
      </c>
      <c r="F83" s="34">
        <v>7.4999999999999997E-2</v>
      </c>
      <c r="G83" s="58">
        <v>0.1</v>
      </c>
      <c r="H83" s="35"/>
      <c r="I83" s="48"/>
    </row>
    <row r="84" spans="1:12" hidden="1" x14ac:dyDescent="0.3">
      <c r="A84" s="16"/>
      <c r="B84" s="1"/>
      <c r="C84" s="1" t="s">
        <v>41</v>
      </c>
      <c r="D84" s="1" t="s">
        <v>42</v>
      </c>
      <c r="E84" s="34">
        <v>7.4999999999999997E-2</v>
      </c>
      <c r="F84" s="34">
        <v>0.15</v>
      </c>
      <c r="G84" s="58">
        <v>0.2</v>
      </c>
      <c r="H84" s="35"/>
      <c r="I84" s="48"/>
    </row>
    <row r="85" spans="1:12" hidden="1" x14ac:dyDescent="0.3">
      <c r="A85" s="16"/>
      <c r="B85" s="1"/>
      <c r="C85" s="1" t="s">
        <v>44</v>
      </c>
      <c r="D85" s="1" t="s">
        <v>45</v>
      </c>
      <c r="E85" s="34">
        <v>3.7499999999999999E-2</v>
      </c>
      <c r="F85" s="20">
        <v>7.4999999999999997E-2</v>
      </c>
      <c r="G85" s="58">
        <v>0.1</v>
      </c>
      <c r="H85" s="35"/>
      <c r="I85" s="48"/>
    </row>
    <row r="86" spans="1:12" hidden="1" x14ac:dyDescent="0.3">
      <c r="A86" s="16"/>
      <c r="B86" s="1"/>
      <c r="C86" s="1"/>
      <c r="D86" s="1"/>
      <c r="E86" s="34"/>
      <c r="F86" s="20"/>
      <c r="G86" s="58"/>
      <c r="H86" s="35"/>
      <c r="I86" s="48"/>
    </row>
    <row r="87" spans="1:12" hidden="1" x14ac:dyDescent="0.3">
      <c r="A87" s="16"/>
      <c r="B87" s="1"/>
      <c r="C87" s="1"/>
      <c r="D87" s="1"/>
      <c r="E87" s="34"/>
      <c r="F87" s="20"/>
      <c r="G87" s="58"/>
      <c r="H87" s="35"/>
      <c r="I87" s="48"/>
    </row>
    <row r="88" spans="1:12" hidden="1" x14ac:dyDescent="0.3">
      <c r="A88" s="16"/>
      <c r="B88" s="47"/>
      <c r="C88" s="1"/>
      <c r="D88" s="1"/>
      <c r="E88" s="1"/>
      <c r="F88" s="1"/>
      <c r="G88" s="17"/>
      <c r="H88" s="48"/>
      <c r="I88" s="48"/>
    </row>
    <row r="89" spans="1:12" hidden="1" x14ac:dyDescent="0.3">
      <c r="A89" s="16">
        <v>2</v>
      </c>
      <c r="B89" s="47"/>
      <c r="C89" s="1" t="s">
        <v>46</v>
      </c>
      <c r="D89" s="1" t="s">
        <v>39</v>
      </c>
      <c r="E89" s="20">
        <v>0.15</v>
      </c>
      <c r="F89" s="20">
        <v>0.15</v>
      </c>
      <c r="G89" s="21">
        <v>0.15</v>
      </c>
      <c r="H89" s="48"/>
      <c r="I89" s="48"/>
    </row>
    <row r="90" spans="1:12" hidden="1" x14ac:dyDescent="0.3">
      <c r="A90" s="16"/>
      <c r="B90" s="47"/>
      <c r="C90" s="1"/>
      <c r="D90" s="1"/>
      <c r="E90" s="1"/>
      <c r="F90" s="1"/>
      <c r="G90" s="17"/>
      <c r="H90" s="48"/>
      <c r="I90" s="48"/>
    </row>
    <row r="91" spans="1:12" hidden="1" x14ac:dyDescent="0.3">
      <c r="A91" s="16">
        <v>3</v>
      </c>
      <c r="B91" s="1"/>
      <c r="C91" s="1" t="s">
        <v>49</v>
      </c>
      <c r="D91" s="1" t="s">
        <v>36</v>
      </c>
      <c r="E91" s="20">
        <v>0.15</v>
      </c>
      <c r="F91" s="20">
        <v>0.15</v>
      </c>
      <c r="G91" s="21">
        <v>0.15</v>
      </c>
      <c r="H91" s="48"/>
      <c r="I91" s="48"/>
    </row>
    <row r="92" spans="1:12" hidden="1" x14ac:dyDescent="0.3">
      <c r="A92" s="16"/>
      <c r="B92" s="1"/>
      <c r="C92" s="1"/>
      <c r="D92" s="1"/>
      <c r="E92" s="20">
        <v>0.5</v>
      </c>
      <c r="F92" s="20">
        <v>0.7</v>
      </c>
      <c r="G92" s="21">
        <v>0.85000000000000009</v>
      </c>
      <c r="H92" s="48"/>
      <c r="I92" s="48"/>
    </row>
    <row r="93" spans="1:12" x14ac:dyDescent="0.3">
      <c r="A93" s="16" t="s">
        <v>30</v>
      </c>
      <c r="B93" s="1"/>
      <c r="C93" s="1" t="s">
        <v>31</v>
      </c>
      <c r="D93" s="1"/>
      <c r="E93" s="1"/>
      <c r="F93" s="1"/>
      <c r="G93" s="17"/>
      <c r="H93" s="48"/>
      <c r="I93" s="48"/>
    </row>
    <row r="94" spans="1:12" x14ac:dyDescent="0.3">
      <c r="A94" s="16" t="s">
        <v>33</v>
      </c>
      <c r="B94" s="1"/>
      <c r="C94" s="1" t="s">
        <v>34</v>
      </c>
      <c r="D94" s="1"/>
      <c r="E94" s="20">
        <v>0.9</v>
      </c>
      <c r="F94" s="20">
        <v>1</v>
      </c>
      <c r="G94" s="21">
        <v>1.1499999999999999</v>
      </c>
      <c r="H94" s="48"/>
      <c r="I94" s="48"/>
    </row>
    <row r="95" spans="1:12" x14ac:dyDescent="0.3">
      <c r="A95" s="16"/>
      <c r="B95" s="1"/>
      <c r="C95" s="1" t="s">
        <v>35</v>
      </c>
      <c r="D95" s="1" t="s">
        <v>36</v>
      </c>
      <c r="E95" s="32">
        <v>75</v>
      </c>
      <c r="F95" s="32">
        <v>150</v>
      </c>
      <c r="G95" s="53">
        <v>225</v>
      </c>
      <c r="H95" s="48"/>
      <c r="I95" s="48">
        <f>E95/775</f>
        <v>9.6774193548387094E-2</v>
      </c>
      <c r="L95" s="73">
        <f t="shared" ref="L95:L104" si="2">I95*$K$97</f>
        <v>35.260838709677415</v>
      </c>
    </row>
    <row r="96" spans="1:12" x14ac:dyDescent="0.3">
      <c r="A96" s="16"/>
      <c r="B96" s="1"/>
      <c r="C96" s="1" t="s">
        <v>38</v>
      </c>
      <c r="D96" s="1" t="s">
        <v>39</v>
      </c>
      <c r="E96" s="32">
        <v>50</v>
      </c>
      <c r="F96" s="32">
        <v>100</v>
      </c>
      <c r="G96" s="53">
        <v>125</v>
      </c>
      <c r="H96" s="60"/>
      <c r="I96" s="48">
        <f t="shared" ref="I96:I104" si="3">E96/775</f>
        <v>6.4516129032258063E-2</v>
      </c>
      <c r="L96" s="73">
        <f t="shared" si="2"/>
        <v>23.507225806451611</v>
      </c>
    </row>
    <row r="97" spans="1:12" x14ac:dyDescent="0.3">
      <c r="A97" s="16"/>
      <c r="B97" s="1"/>
      <c r="C97" s="1" t="s">
        <v>41</v>
      </c>
      <c r="D97" s="1" t="s">
        <v>42</v>
      </c>
      <c r="E97" s="32">
        <v>50</v>
      </c>
      <c r="F97" s="32">
        <v>100</v>
      </c>
      <c r="G97" s="53">
        <v>125</v>
      </c>
      <c r="H97" s="60"/>
      <c r="I97" s="48">
        <f t="shared" si="3"/>
        <v>6.4516129032258063E-2</v>
      </c>
      <c r="K97" s="60">
        <v>364.36199999999997</v>
      </c>
      <c r="L97" s="73">
        <f t="shared" si="2"/>
        <v>23.507225806451611</v>
      </c>
    </row>
    <row r="98" spans="1:12" x14ac:dyDescent="0.3">
      <c r="A98" s="16"/>
      <c r="B98" s="1"/>
      <c r="C98" s="1" t="s">
        <v>44</v>
      </c>
      <c r="D98" s="1" t="s">
        <v>45</v>
      </c>
      <c r="E98" s="32">
        <v>50</v>
      </c>
      <c r="F98" s="32">
        <v>100</v>
      </c>
      <c r="G98" s="53">
        <v>125</v>
      </c>
      <c r="H98" s="60"/>
      <c r="I98" s="48">
        <f t="shared" si="3"/>
        <v>6.4516129032258063E-2</v>
      </c>
      <c r="L98" s="73">
        <f t="shared" si="2"/>
        <v>23.507225806451611</v>
      </c>
    </row>
    <row r="99" spans="1:12" x14ac:dyDescent="0.3">
      <c r="A99" s="16"/>
      <c r="B99" s="47"/>
      <c r="C99" s="1"/>
      <c r="D99" s="1"/>
      <c r="E99" s="1"/>
      <c r="F99" s="1"/>
      <c r="G99" s="17"/>
      <c r="H99" s="48"/>
      <c r="I99" s="48">
        <f t="shared" si="3"/>
        <v>0</v>
      </c>
      <c r="K99" s="73"/>
      <c r="L99" s="73">
        <f t="shared" si="2"/>
        <v>0</v>
      </c>
    </row>
    <row r="100" spans="1:12" x14ac:dyDescent="0.3">
      <c r="A100" s="16">
        <v>2</v>
      </c>
      <c r="B100" s="47"/>
      <c r="C100" s="1" t="s">
        <v>46</v>
      </c>
      <c r="D100" s="1" t="s">
        <v>39</v>
      </c>
      <c r="E100" s="32">
        <v>225</v>
      </c>
      <c r="F100" s="32">
        <v>225</v>
      </c>
      <c r="G100" s="53">
        <v>225</v>
      </c>
      <c r="H100" s="48"/>
      <c r="I100" s="48">
        <v>0.28999999999999998</v>
      </c>
      <c r="L100" s="73">
        <f t="shared" si="2"/>
        <v>105.66497999999999</v>
      </c>
    </row>
    <row r="101" spans="1:12" x14ac:dyDescent="0.3">
      <c r="A101" s="16"/>
      <c r="B101" s="47"/>
      <c r="C101" s="1"/>
      <c r="D101" s="1"/>
      <c r="E101" s="1"/>
      <c r="F101" s="1"/>
      <c r="G101" s="17"/>
      <c r="H101" s="48"/>
      <c r="I101" s="48">
        <f t="shared" si="3"/>
        <v>0</v>
      </c>
      <c r="L101" s="73">
        <f t="shared" si="2"/>
        <v>0</v>
      </c>
    </row>
    <row r="102" spans="1:12" x14ac:dyDescent="0.3">
      <c r="A102" s="16">
        <v>3</v>
      </c>
      <c r="B102" s="1"/>
      <c r="C102" s="1" t="s">
        <v>49</v>
      </c>
      <c r="D102" s="1" t="s">
        <v>36</v>
      </c>
      <c r="E102" s="32">
        <v>225</v>
      </c>
      <c r="F102" s="32">
        <v>225</v>
      </c>
      <c r="G102" s="53">
        <v>225</v>
      </c>
      <c r="H102" s="48"/>
      <c r="I102" s="48">
        <v>0.28999999999999998</v>
      </c>
      <c r="L102" s="73">
        <f t="shared" si="2"/>
        <v>105.66497999999999</v>
      </c>
    </row>
    <row r="103" spans="1:12" x14ac:dyDescent="0.3">
      <c r="A103" s="16"/>
      <c r="B103" s="1"/>
      <c r="C103" s="1"/>
      <c r="D103" s="1"/>
      <c r="E103" s="1"/>
      <c r="F103" s="1"/>
      <c r="G103" s="17"/>
      <c r="H103" s="48"/>
      <c r="I103" s="48">
        <f t="shared" si="3"/>
        <v>0</v>
      </c>
      <c r="L103" s="73">
        <f t="shared" si="2"/>
        <v>0</v>
      </c>
    </row>
    <row r="104" spans="1:12" x14ac:dyDescent="0.3">
      <c r="A104" s="54"/>
      <c r="B104" s="55"/>
      <c r="C104" s="55"/>
      <c r="D104" s="55" t="s">
        <v>53</v>
      </c>
      <c r="E104" s="56">
        <f>SUM(E95:E102)+E97</f>
        <v>725</v>
      </c>
      <c r="F104" s="56">
        <f>SUM(F95:F102)+F97</f>
        <v>1000</v>
      </c>
      <c r="G104" s="57">
        <f>SUM(G95:G102)+G97</f>
        <v>1175</v>
      </c>
      <c r="H104" s="48"/>
      <c r="I104" s="48">
        <f t="shared" si="3"/>
        <v>0.93548387096774188</v>
      </c>
      <c r="L104" s="73">
        <f t="shared" si="2"/>
        <v>340.85477419354834</v>
      </c>
    </row>
    <row r="106" spans="1:12" ht="18" x14ac:dyDescent="0.35">
      <c r="A106" s="9"/>
      <c r="B106" s="10"/>
      <c r="C106" s="11" t="s">
        <v>22</v>
      </c>
      <c r="D106" s="11" t="s">
        <v>351</v>
      </c>
      <c r="E106" s="12" t="s">
        <v>23</v>
      </c>
      <c r="F106" s="12">
        <v>1500</v>
      </c>
      <c r="G106" s="13" t="s">
        <v>43</v>
      </c>
    </row>
    <row r="107" spans="1:12" hidden="1" x14ac:dyDescent="0.3">
      <c r="A107" s="16" t="s">
        <v>30</v>
      </c>
      <c r="B107" s="1"/>
      <c r="C107" s="1" t="s">
        <v>31</v>
      </c>
      <c r="D107" s="1"/>
      <c r="E107" s="1"/>
      <c r="F107" s="1"/>
      <c r="G107" s="17"/>
    </row>
    <row r="108" spans="1:12" hidden="1" x14ac:dyDescent="0.3">
      <c r="A108" s="16" t="s">
        <v>33</v>
      </c>
      <c r="B108" s="1"/>
      <c r="C108" s="1" t="s">
        <v>34</v>
      </c>
      <c r="D108" s="1"/>
      <c r="E108" s="20">
        <v>0.9</v>
      </c>
      <c r="F108" s="20">
        <v>1</v>
      </c>
      <c r="G108" s="21">
        <v>1.1499999999999999</v>
      </c>
    </row>
    <row r="109" spans="1:12" hidden="1" x14ac:dyDescent="0.3">
      <c r="A109" s="16"/>
      <c r="B109" s="1"/>
      <c r="C109" s="1" t="s">
        <v>35</v>
      </c>
      <c r="D109" s="1" t="s">
        <v>36</v>
      </c>
      <c r="E109" s="20">
        <v>0.05</v>
      </c>
      <c r="F109" s="20">
        <v>0.1</v>
      </c>
      <c r="G109" s="21">
        <v>0.15</v>
      </c>
    </row>
    <row r="110" spans="1:12" hidden="1" x14ac:dyDescent="0.3">
      <c r="A110" s="16"/>
      <c r="B110" s="1"/>
      <c r="C110" s="1" t="s">
        <v>38</v>
      </c>
      <c r="D110" s="1" t="s">
        <v>39</v>
      </c>
      <c r="E110" s="34">
        <v>3.7499999999999999E-2</v>
      </c>
      <c r="F110" s="34">
        <v>7.4999999999999997E-2</v>
      </c>
      <c r="G110" s="58">
        <v>0.1</v>
      </c>
    </row>
    <row r="111" spans="1:12" hidden="1" x14ac:dyDescent="0.3">
      <c r="A111" s="16"/>
      <c r="B111" s="1"/>
      <c r="C111" s="1" t="s">
        <v>41</v>
      </c>
      <c r="D111" s="1" t="s">
        <v>42</v>
      </c>
      <c r="E111" s="34">
        <v>7.4999999999999997E-2</v>
      </c>
      <c r="F111" s="34">
        <v>0.15</v>
      </c>
      <c r="G111" s="58">
        <v>0.2</v>
      </c>
    </row>
    <row r="112" spans="1:12" hidden="1" x14ac:dyDescent="0.3">
      <c r="A112" s="16"/>
      <c r="B112" s="1"/>
      <c r="C112" s="1" t="s">
        <v>44</v>
      </c>
      <c r="D112" s="1" t="s">
        <v>45</v>
      </c>
      <c r="E112" s="34">
        <v>3.7499999999999999E-2</v>
      </c>
      <c r="F112" s="20">
        <v>7.4999999999999997E-2</v>
      </c>
      <c r="G112" s="58">
        <v>0.1</v>
      </c>
    </row>
    <row r="113" spans="1:11" hidden="1" x14ac:dyDescent="0.3">
      <c r="A113" s="16"/>
      <c r="B113" s="47"/>
      <c r="C113" s="1"/>
      <c r="D113" s="1"/>
      <c r="E113" s="1"/>
      <c r="F113" s="1"/>
      <c r="G113" s="17"/>
      <c r="K113" s="73"/>
    </row>
    <row r="114" spans="1:11" hidden="1" x14ac:dyDescent="0.3">
      <c r="A114" s="16">
        <v>2</v>
      </c>
      <c r="B114" s="47"/>
      <c r="C114" s="1" t="s">
        <v>46</v>
      </c>
      <c r="D114" s="1" t="s">
        <v>39</v>
      </c>
      <c r="E114" s="20">
        <v>0.15</v>
      </c>
      <c r="F114" s="20">
        <v>0.15</v>
      </c>
      <c r="G114" s="21">
        <v>0.15</v>
      </c>
    </row>
    <row r="115" spans="1:11" hidden="1" x14ac:dyDescent="0.3">
      <c r="A115" s="16"/>
      <c r="B115" s="47"/>
      <c r="C115" s="1"/>
      <c r="D115" s="1"/>
      <c r="E115" s="1"/>
      <c r="F115" s="1"/>
      <c r="G115" s="17"/>
    </row>
    <row r="116" spans="1:11" hidden="1" x14ac:dyDescent="0.3">
      <c r="A116" s="16">
        <v>3</v>
      </c>
      <c r="B116" s="1"/>
      <c r="C116" s="1" t="s">
        <v>49</v>
      </c>
      <c r="D116" s="1" t="s">
        <v>36</v>
      </c>
      <c r="E116" s="20">
        <v>0.15</v>
      </c>
      <c r="F116" s="20">
        <v>0.15</v>
      </c>
      <c r="G116" s="21">
        <v>0.15</v>
      </c>
    </row>
    <row r="117" spans="1:11" hidden="1" x14ac:dyDescent="0.3">
      <c r="A117" s="16"/>
      <c r="B117" s="1"/>
      <c r="C117" s="1"/>
      <c r="D117" s="1"/>
      <c r="E117" s="20">
        <v>0.5</v>
      </c>
      <c r="F117" s="20">
        <v>0.7</v>
      </c>
      <c r="G117" s="21">
        <v>0.85000000000000009</v>
      </c>
    </row>
    <row r="118" spans="1:11" x14ac:dyDescent="0.3">
      <c r="A118" s="16" t="s">
        <v>30</v>
      </c>
      <c r="B118" s="1"/>
      <c r="C118" s="1" t="s">
        <v>31</v>
      </c>
      <c r="D118" s="1"/>
      <c r="E118" s="1"/>
      <c r="F118" s="1"/>
      <c r="G118" s="17"/>
    </row>
    <row r="119" spans="1:11" x14ac:dyDescent="0.3">
      <c r="A119" s="16" t="s">
        <v>33</v>
      </c>
      <c r="B119" s="1"/>
      <c r="C119" s="1" t="s">
        <v>34</v>
      </c>
      <c r="D119" s="1"/>
      <c r="E119" s="20">
        <v>0.9</v>
      </c>
      <c r="F119" s="20">
        <v>1</v>
      </c>
      <c r="G119" s="21">
        <v>1.1499999999999999</v>
      </c>
    </row>
    <row r="120" spans="1:11" x14ac:dyDescent="0.3">
      <c r="A120" s="16"/>
      <c r="B120" s="1"/>
      <c r="C120" s="1" t="s">
        <v>35</v>
      </c>
      <c r="D120" s="1" t="s">
        <v>352</v>
      </c>
      <c r="E120" s="32">
        <v>75</v>
      </c>
      <c r="F120" s="32">
        <v>150</v>
      </c>
      <c r="G120" s="53">
        <v>225</v>
      </c>
    </row>
    <row r="121" spans="1:11" x14ac:dyDescent="0.3">
      <c r="A121" s="16"/>
      <c r="B121" s="1"/>
      <c r="C121" s="1" t="s">
        <v>38</v>
      </c>
      <c r="D121" s="1" t="s">
        <v>42</v>
      </c>
      <c r="E121" s="32">
        <v>100</v>
      </c>
      <c r="F121" s="32">
        <v>225</v>
      </c>
      <c r="G121" s="53">
        <v>300</v>
      </c>
    </row>
    <row r="122" spans="1:11" x14ac:dyDescent="0.3">
      <c r="A122" s="16"/>
      <c r="B122" s="47"/>
      <c r="C122" s="1"/>
      <c r="D122" s="1"/>
      <c r="E122" s="1"/>
      <c r="F122" s="1"/>
      <c r="G122" s="17"/>
    </row>
    <row r="123" spans="1:11" x14ac:dyDescent="0.3">
      <c r="A123" s="16" t="s">
        <v>353</v>
      </c>
      <c r="B123" s="1"/>
      <c r="C123" s="1" t="s">
        <v>49</v>
      </c>
      <c r="D123" s="1" t="s">
        <v>49</v>
      </c>
      <c r="E123" s="32">
        <v>225</v>
      </c>
      <c r="F123" s="32">
        <v>225</v>
      </c>
      <c r="G123" s="53">
        <v>225</v>
      </c>
    </row>
    <row r="124" spans="1:11" x14ac:dyDescent="0.3">
      <c r="A124" s="16"/>
      <c r="B124" s="1"/>
      <c r="C124" s="1"/>
      <c r="D124" s="1"/>
      <c r="E124" s="1"/>
      <c r="F124" s="1"/>
      <c r="G124" s="17"/>
    </row>
    <row r="125" spans="1:11" x14ac:dyDescent="0.3">
      <c r="A125" s="54"/>
      <c r="B125" s="55"/>
      <c r="C125" s="55"/>
      <c r="D125" s="55" t="s">
        <v>17</v>
      </c>
      <c r="E125" s="56">
        <f>SUM(E120:E123)</f>
        <v>400</v>
      </c>
      <c r="F125" s="56">
        <f>SUM(F120:F123)</f>
        <v>600</v>
      </c>
      <c r="G125" s="57">
        <f>SUM(G120:G123)</f>
        <v>750</v>
      </c>
    </row>
  </sheetData>
  <mergeCells count="8">
    <mergeCell ref="U20:W20"/>
    <mergeCell ref="U21:W21"/>
    <mergeCell ref="U2:W2"/>
    <mergeCell ref="Z2:AB2"/>
    <mergeCell ref="U10:W10"/>
    <mergeCell ref="U17:W17"/>
    <mergeCell ref="U18:W18"/>
    <mergeCell ref="U19:W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E111-0729-4B46-9DF0-64506ECE6E1F}">
  <dimension ref="A1:AB134"/>
  <sheetViews>
    <sheetView showGridLines="0" topLeftCell="A14" workbookViewId="0">
      <selection activeCell="J8" sqref="J8:L8"/>
    </sheetView>
  </sheetViews>
  <sheetFormatPr defaultRowHeight="14.4" x14ac:dyDescent="0.3"/>
  <cols>
    <col min="1" max="1" width="7.44140625" bestFit="1" customWidth="1"/>
    <col min="3" max="3" width="22.88671875" bestFit="1" customWidth="1"/>
    <col min="4" max="4" width="31.109375" bestFit="1" customWidth="1"/>
    <col min="5" max="7" width="12.109375" bestFit="1" customWidth="1"/>
    <col min="8" max="8" width="10.5546875" bestFit="1" customWidth="1"/>
    <col min="9" max="9" width="7.44140625" bestFit="1" customWidth="1"/>
    <col min="10" max="10" width="2.109375" customWidth="1"/>
    <col min="11" max="11" width="22.88671875" bestFit="1" customWidth="1"/>
    <col min="12" max="12" width="30.6640625" bestFit="1" customWidth="1"/>
    <col min="13" max="15" width="12.109375" bestFit="1" customWidth="1"/>
    <col min="16" max="16" width="8.6640625" hidden="1" customWidth="1"/>
    <col min="17" max="17" width="12.88671875" hidden="1" customWidth="1"/>
    <col min="18" max="18" width="1.5546875" customWidth="1"/>
    <col min="19" max="19" width="8.6640625" customWidth="1"/>
    <col min="20" max="20" width="16.33203125" bestFit="1" customWidth="1"/>
    <col min="21" max="22" width="10.5546875" bestFit="1" customWidth="1"/>
    <col min="23" max="23" width="10.44140625" customWidth="1"/>
    <col min="24" max="24" width="5.5546875" hidden="1" customWidth="1"/>
    <col min="25" max="25" width="15.109375" bestFit="1" customWidth="1"/>
    <col min="26" max="26" width="10.5546875" bestFit="1" customWidth="1"/>
    <col min="27" max="28" width="11.6640625" bestFit="1" customWidth="1"/>
  </cols>
  <sheetData>
    <row r="1" spans="1:28" ht="15" thickBot="1" x14ac:dyDescent="0.35"/>
    <row r="2" spans="1:28" ht="18.600000000000001" thickBot="1" x14ac:dyDescent="0.4">
      <c r="A2" s="9"/>
      <c r="B2" s="10"/>
      <c r="C2" s="11" t="s">
        <v>22</v>
      </c>
      <c r="D2" s="11" t="s">
        <v>349</v>
      </c>
      <c r="E2" s="12" t="s">
        <v>23</v>
      </c>
      <c r="F2" s="12">
        <v>1500</v>
      </c>
      <c r="G2" s="13" t="s">
        <v>24</v>
      </c>
      <c r="I2" s="9"/>
      <c r="J2" s="10"/>
      <c r="K2" s="11" t="s">
        <v>25</v>
      </c>
      <c r="L2" s="11" t="s">
        <v>26</v>
      </c>
      <c r="M2" s="12" t="s">
        <v>23</v>
      </c>
      <c r="N2" s="12">
        <v>2000</v>
      </c>
      <c r="O2" s="14"/>
      <c r="T2" s="15" t="s">
        <v>27</v>
      </c>
      <c r="U2" s="204" t="s">
        <v>374</v>
      </c>
      <c r="V2" s="205"/>
      <c r="W2" s="206"/>
      <c r="Y2" s="15" t="s">
        <v>29</v>
      </c>
      <c r="Z2" s="204" t="s">
        <v>28</v>
      </c>
      <c r="AA2" s="205"/>
      <c r="AB2" s="206"/>
    </row>
    <row r="3" spans="1:28" ht="15" thickBot="1" x14ac:dyDescent="0.35">
      <c r="A3" s="16" t="s">
        <v>30</v>
      </c>
      <c r="B3" s="1"/>
      <c r="C3" s="1" t="s">
        <v>31</v>
      </c>
      <c r="D3" s="1"/>
      <c r="E3" s="1"/>
      <c r="F3" s="1"/>
      <c r="G3" s="17"/>
      <c r="I3" s="16" t="s">
        <v>30</v>
      </c>
      <c r="J3" s="1"/>
      <c r="K3" s="1" t="s">
        <v>31</v>
      </c>
      <c r="L3" s="1"/>
      <c r="M3" s="1"/>
      <c r="N3" s="1"/>
      <c r="O3" s="17"/>
      <c r="T3" s="4" t="s">
        <v>32</v>
      </c>
      <c r="U3" s="18">
        <v>0.9</v>
      </c>
      <c r="V3" s="18">
        <v>1</v>
      </c>
      <c r="W3" s="19">
        <v>1.1499999999999999</v>
      </c>
      <c r="Y3" s="4" t="s">
        <v>32</v>
      </c>
      <c r="Z3" s="18">
        <v>0.9</v>
      </c>
      <c r="AA3" s="18">
        <v>1</v>
      </c>
      <c r="AB3" s="19">
        <v>1.1499999999999999</v>
      </c>
    </row>
    <row r="4" spans="1:28" x14ac:dyDescent="0.3">
      <c r="A4" s="16" t="s">
        <v>33</v>
      </c>
      <c r="B4" s="1"/>
      <c r="C4" s="1" t="s">
        <v>34</v>
      </c>
      <c r="D4" s="1"/>
      <c r="E4" s="20">
        <v>0.9</v>
      </c>
      <c r="F4" s="20">
        <v>1</v>
      </c>
      <c r="G4" s="21">
        <v>1.1499999999999999</v>
      </c>
      <c r="I4" s="16" t="s">
        <v>33</v>
      </c>
      <c r="J4" s="1"/>
      <c r="K4" s="1" t="s">
        <v>34</v>
      </c>
      <c r="L4" s="1"/>
      <c r="M4" s="20">
        <v>0.9</v>
      </c>
      <c r="N4" s="20">
        <v>1</v>
      </c>
      <c r="O4" s="21">
        <v>1.1499999999999999</v>
      </c>
      <c r="T4" s="22" t="s">
        <v>24</v>
      </c>
      <c r="U4" s="23">
        <f>E19</f>
        <v>100</v>
      </c>
      <c r="V4" s="23">
        <v>225</v>
      </c>
      <c r="W4" s="24">
        <v>295</v>
      </c>
      <c r="Y4" s="25" t="s">
        <v>24</v>
      </c>
      <c r="Z4" s="26">
        <v>135</v>
      </c>
      <c r="AA4" s="26">
        <v>270</v>
      </c>
      <c r="AB4" s="27">
        <v>350</v>
      </c>
    </row>
    <row r="5" spans="1:28" ht="15.6" x14ac:dyDescent="0.3">
      <c r="A5" s="16"/>
      <c r="B5" s="1"/>
      <c r="C5" s="1" t="s">
        <v>35</v>
      </c>
      <c r="D5" s="1" t="s">
        <v>36</v>
      </c>
      <c r="E5" s="20">
        <f t="shared" ref="E5:G10" si="0">E18/$F$29</f>
        <v>4.1666666666666664E-2</v>
      </c>
      <c r="F5" s="20">
        <f t="shared" si="0"/>
        <v>8.3333333333333329E-2</v>
      </c>
      <c r="G5" s="21">
        <f t="shared" si="0"/>
        <v>0.125</v>
      </c>
      <c r="H5" s="28"/>
      <c r="I5" s="16"/>
      <c r="J5" s="1"/>
      <c r="K5" s="1" t="s">
        <v>35</v>
      </c>
      <c r="L5" s="1" t="s">
        <v>36</v>
      </c>
      <c r="M5" s="20">
        <v>0.05</v>
      </c>
      <c r="N5" s="20">
        <v>0.1</v>
      </c>
      <c r="O5" s="21">
        <v>0.15</v>
      </c>
      <c r="Q5" s="29"/>
      <c r="R5" s="30"/>
      <c r="S5" s="30"/>
      <c r="T5" s="31" t="s">
        <v>37</v>
      </c>
      <c r="U5" s="32">
        <v>85</v>
      </c>
      <c r="V5" s="32">
        <f>F47</f>
        <v>195</v>
      </c>
      <c r="W5" s="33">
        <f>G47</f>
        <v>225</v>
      </c>
      <c r="X5" s="29"/>
      <c r="Y5" s="31" t="s">
        <v>37</v>
      </c>
      <c r="Z5" s="26">
        <v>112.5</v>
      </c>
      <c r="AA5" s="26">
        <v>225</v>
      </c>
      <c r="AB5" s="27">
        <v>270</v>
      </c>
    </row>
    <row r="6" spans="1:28" ht="16.2" thickBot="1" x14ac:dyDescent="0.35">
      <c r="A6" s="16"/>
      <c r="B6" s="1"/>
      <c r="C6" s="1" t="s">
        <v>38</v>
      </c>
      <c r="D6" s="1" t="s">
        <v>39</v>
      </c>
      <c r="E6" s="20">
        <f t="shared" si="0"/>
        <v>5.5555555555555552E-2</v>
      </c>
      <c r="F6" s="20">
        <f t="shared" si="0"/>
        <v>0.1111111111111111</v>
      </c>
      <c r="G6" s="21">
        <f t="shared" si="0"/>
        <v>0.15</v>
      </c>
      <c r="H6" s="35"/>
      <c r="I6" s="16"/>
      <c r="J6" s="1"/>
      <c r="K6" s="1" t="s">
        <v>38</v>
      </c>
      <c r="L6" s="1" t="s">
        <v>39</v>
      </c>
      <c r="M6" s="34">
        <v>7.4999999999999997E-2</v>
      </c>
      <c r="N6" s="20">
        <v>0.15</v>
      </c>
      <c r="O6" s="21">
        <v>0.2</v>
      </c>
      <c r="P6" s="36"/>
      <c r="Q6" s="36"/>
      <c r="R6" s="36"/>
      <c r="S6" s="36"/>
      <c r="T6" s="37" t="s">
        <v>40</v>
      </c>
      <c r="U6" s="32">
        <f>E74</f>
        <v>70</v>
      </c>
      <c r="V6" s="32">
        <v>165</v>
      </c>
      <c r="W6" s="33">
        <v>200</v>
      </c>
      <c r="X6" s="36"/>
      <c r="Y6" s="38" t="s">
        <v>40</v>
      </c>
      <c r="Z6" s="39">
        <v>85</v>
      </c>
      <c r="AA6" s="39">
        <v>170</v>
      </c>
      <c r="AB6" s="40">
        <v>220</v>
      </c>
    </row>
    <row r="7" spans="1:28" ht="16.2" thickBot="1" x14ac:dyDescent="0.35">
      <c r="A7" s="16"/>
      <c r="B7" s="1"/>
      <c r="C7" s="1" t="s">
        <v>41</v>
      </c>
      <c r="D7" s="1" t="s">
        <v>42</v>
      </c>
      <c r="E7" s="20">
        <f t="shared" si="0"/>
        <v>5.5555555555555552E-2</v>
      </c>
      <c r="F7" s="20">
        <f t="shared" si="0"/>
        <v>0.1111111111111111</v>
      </c>
      <c r="G7" s="21">
        <f t="shared" si="0"/>
        <v>0.15</v>
      </c>
      <c r="H7" s="35"/>
      <c r="I7" s="16"/>
      <c r="J7" s="1"/>
      <c r="K7" s="1" t="s">
        <v>41</v>
      </c>
      <c r="L7" s="1" t="s">
        <v>42</v>
      </c>
      <c r="M7" s="34">
        <v>0.15</v>
      </c>
      <c r="N7" s="20">
        <v>0.3</v>
      </c>
      <c r="O7" s="21">
        <v>0.4</v>
      </c>
      <c r="P7" s="41"/>
      <c r="Q7" s="42"/>
      <c r="R7" s="41"/>
      <c r="S7" s="41"/>
      <c r="T7" s="43" t="s">
        <v>43</v>
      </c>
      <c r="U7" s="44">
        <f>E103</f>
        <v>50</v>
      </c>
      <c r="V7" s="44">
        <v>125</v>
      </c>
      <c r="W7" s="45">
        <v>150</v>
      </c>
      <c r="X7" s="46"/>
      <c r="Y7" s="42"/>
      <c r="Z7" s="42"/>
    </row>
    <row r="8" spans="1:28" ht="15.6" x14ac:dyDescent="0.3">
      <c r="A8" s="16"/>
      <c r="B8" s="1"/>
      <c r="C8" s="1" t="s">
        <v>44</v>
      </c>
      <c r="D8" s="1" t="s">
        <v>45</v>
      </c>
      <c r="E8" s="20">
        <f t="shared" si="0"/>
        <v>5.5555555555555552E-2</v>
      </c>
      <c r="F8" s="20">
        <f t="shared" si="0"/>
        <v>0.1111111111111111</v>
      </c>
      <c r="G8" s="21">
        <f t="shared" si="0"/>
        <v>0.15</v>
      </c>
      <c r="H8" s="35"/>
      <c r="I8" s="16"/>
      <c r="J8" s="1"/>
      <c r="K8" s="1"/>
      <c r="L8" s="1"/>
      <c r="M8" s="34"/>
      <c r="N8" s="20"/>
      <c r="O8" s="21"/>
      <c r="P8" s="41"/>
      <c r="Q8" s="42"/>
      <c r="R8" s="41"/>
      <c r="S8" s="41"/>
      <c r="T8" s="74"/>
      <c r="U8" s="32"/>
      <c r="V8" s="32"/>
      <c r="W8" s="32"/>
      <c r="X8" s="46"/>
      <c r="Y8" s="42"/>
      <c r="Z8" s="42"/>
    </row>
    <row r="9" spans="1:28" ht="15.6" x14ac:dyDescent="0.3">
      <c r="A9" s="16"/>
      <c r="B9" s="1"/>
      <c r="C9" s="1" t="s">
        <v>50</v>
      </c>
      <c r="D9" s="1" t="s">
        <v>51</v>
      </c>
      <c r="E9" s="20">
        <f t="shared" si="0"/>
        <v>0.1111111111111111</v>
      </c>
      <c r="F9" s="20">
        <f t="shared" si="0"/>
        <v>0.22222222222222221</v>
      </c>
      <c r="G9" s="21">
        <f t="shared" si="0"/>
        <v>0.3</v>
      </c>
      <c r="H9" s="35"/>
      <c r="I9" s="16"/>
      <c r="J9" s="1"/>
      <c r="K9" s="1" t="s">
        <v>44</v>
      </c>
      <c r="L9" s="1" t="s">
        <v>45</v>
      </c>
      <c r="M9" s="34">
        <v>7.4999999999999997E-2</v>
      </c>
      <c r="N9" s="20">
        <v>0.15</v>
      </c>
      <c r="O9" s="21">
        <v>0.2</v>
      </c>
      <c r="P9" s="41"/>
      <c r="Q9" s="42"/>
      <c r="R9" s="41"/>
      <c r="S9" s="41"/>
      <c r="T9" s="42"/>
      <c r="U9" s="41"/>
      <c r="V9" s="42"/>
      <c r="W9" s="42"/>
      <c r="X9" s="46"/>
      <c r="Y9" s="42"/>
      <c r="Z9" s="42"/>
    </row>
    <row r="10" spans="1:28" ht="15.6" x14ac:dyDescent="0.3">
      <c r="A10" s="16"/>
      <c r="B10" s="1"/>
      <c r="C10" s="1" t="s">
        <v>342</v>
      </c>
      <c r="D10" s="1" t="s">
        <v>343</v>
      </c>
      <c r="E10" s="20">
        <f t="shared" si="0"/>
        <v>5.5555555555555552E-2</v>
      </c>
      <c r="F10" s="20">
        <f t="shared" si="0"/>
        <v>0.1111111111111111</v>
      </c>
      <c r="G10" s="21">
        <f t="shared" si="0"/>
        <v>0.15</v>
      </c>
      <c r="H10" s="35"/>
      <c r="I10" s="16"/>
      <c r="J10" s="1"/>
      <c r="K10" s="1"/>
      <c r="L10" s="1"/>
      <c r="M10" s="34"/>
      <c r="N10" s="20"/>
      <c r="O10" s="21"/>
      <c r="P10" s="41"/>
      <c r="Q10" s="42"/>
      <c r="R10" s="41"/>
      <c r="S10" s="41"/>
      <c r="T10" s="42"/>
      <c r="U10" s="41"/>
      <c r="V10" s="42"/>
      <c r="W10" s="42"/>
      <c r="X10" s="46"/>
      <c r="Y10" s="42"/>
      <c r="Z10" s="42"/>
    </row>
    <row r="11" spans="1:28" ht="15.6" x14ac:dyDescent="0.3">
      <c r="A11" s="16"/>
      <c r="B11" s="47"/>
      <c r="C11" s="1"/>
      <c r="D11" s="1"/>
      <c r="E11" s="20"/>
      <c r="F11" s="1"/>
      <c r="G11" s="17"/>
      <c r="H11" s="48"/>
      <c r="I11" s="16"/>
      <c r="J11" s="47"/>
      <c r="K11" s="1"/>
      <c r="L11" s="1"/>
      <c r="M11" s="1"/>
      <c r="N11" s="1"/>
      <c r="O11" s="17"/>
      <c r="P11" s="41"/>
      <c r="Q11" s="42"/>
      <c r="R11" s="41"/>
      <c r="S11" s="41"/>
      <c r="T11" s="42"/>
      <c r="U11" s="41"/>
      <c r="V11" s="42"/>
      <c r="W11" s="42"/>
      <c r="X11" s="46"/>
      <c r="Y11" s="42"/>
      <c r="Z11" s="42"/>
    </row>
    <row r="12" spans="1:28" ht="15.6" x14ac:dyDescent="0.3">
      <c r="A12" s="16">
        <v>2</v>
      </c>
      <c r="B12" s="47"/>
      <c r="C12" s="1" t="s">
        <v>46</v>
      </c>
      <c r="D12" s="1" t="s">
        <v>39</v>
      </c>
      <c r="E12" s="20">
        <f>E25/$F$29</f>
        <v>0.125</v>
      </c>
      <c r="F12" s="20">
        <f>F25/$F$29</f>
        <v>0.125</v>
      </c>
      <c r="G12" s="21">
        <f>G25/$F$29</f>
        <v>0.125</v>
      </c>
      <c r="H12" s="48"/>
      <c r="I12" s="16">
        <v>2</v>
      </c>
      <c r="J12" s="47"/>
      <c r="K12" s="1" t="s">
        <v>47</v>
      </c>
      <c r="L12" s="1" t="s">
        <v>39</v>
      </c>
      <c r="M12" s="20">
        <v>0.15</v>
      </c>
      <c r="N12" s="20">
        <v>0.15</v>
      </c>
      <c r="O12" s="21">
        <v>0.15</v>
      </c>
      <c r="P12" s="41"/>
      <c r="Q12" s="42"/>
      <c r="R12" s="41"/>
      <c r="S12" s="41"/>
      <c r="T12" s="49"/>
      <c r="U12" s="259" t="s">
        <v>48</v>
      </c>
      <c r="V12" s="259"/>
      <c r="W12" s="259"/>
      <c r="X12" s="42"/>
      <c r="Y12" s="42"/>
      <c r="Z12" s="42"/>
    </row>
    <row r="13" spans="1:28" x14ac:dyDescent="0.3">
      <c r="A13" s="16"/>
      <c r="B13" s="47"/>
      <c r="C13" s="1"/>
      <c r="D13" s="1"/>
      <c r="E13" s="20"/>
      <c r="F13" s="1"/>
      <c r="G13" s="17"/>
      <c r="H13" s="48"/>
      <c r="I13" s="16"/>
      <c r="J13" s="47"/>
      <c r="K13" s="1"/>
      <c r="L13" s="1"/>
      <c r="M13" s="1"/>
      <c r="N13" s="1"/>
      <c r="O13" s="17"/>
      <c r="T13" s="50"/>
      <c r="U13" s="51">
        <v>0.9</v>
      </c>
      <c r="V13" s="51">
        <v>1</v>
      </c>
      <c r="W13" s="51">
        <v>1.1499999999999999</v>
      </c>
    </row>
    <row r="14" spans="1:28" x14ac:dyDescent="0.3">
      <c r="A14" s="16">
        <v>3</v>
      </c>
      <c r="B14" s="1"/>
      <c r="C14" s="1" t="s">
        <v>49</v>
      </c>
      <c r="D14" s="1" t="s">
        <v>36</v>
      </c>
      <c r="E14" s="20">
        <f>E27/$F$29</f>
        <v>0.125</v>
      </c>
      <c r="F14" s="20">
        <f>F27/$F$29</f>
        <v>0.125</v>
      </c>
      <c r="G14" s="21">
        <v>0.15</v>
      </c>
      <c r="H14" s="48"/>
      <c r="I14" s="16">
        <v>3</v>
      </c>
      <c r="J14" s="1"/>
      <c r="K14" s="1" t="s">
        <v>49</v>
      </c>
      <c r="L14" s="1" t="s">
        <v>36</v>
      </c>
      <c r="M14" s="20">
        <v>0.15</v>
      </c>
      <c r="N14" s="20">
        <v>0.15</v>
      </c>
      <c r="O14" s="21">
        <v>0.15</v>
      </c>
      <c r="T14" s="50" t="s">
        <v>5</v>
      </c>
      <c r="U14" s="52">
        <v>75</v>
      </c>
      <c r="V14" s="52">
        <v>150</v>
      </c>
      <c r="W14" s="52">
        <v>225</v>
      </c>
    </row>
    <row r="15" spans="1:28" x14ac:dyDescent="0.3">
      <c r="A15" s="16"/>
      <c r="B15" s="1"/>
      <c r="C15" s="1"/>
      <c r="D15" s="1"/>
      <c r="E15" s="20">
        <f>SUM(E5:E14)</f>
        <v>0.625</v>
      </c>
      <c r="F15" s="20">
        <f>SUM(F5:F14)</f>
        <v>1</v>
      </c>
      <c r="G15" s="21">
        <f>SUM(G5:G14)</f>
        <v>1.2999999999999998</v>
      </c>
      <c r="H15" s="48"/>
      <c r="I15" s="16"/>
      <c r="J15" s="1"/>
      <c r="K15" s="1"/>
      <c r="L15" s="1"/>
      <c r="M15" s="20">
        <v>0.65</v>
      </c>
      <c r="N15" s="20">
        <v>1</v>
      </c>
      <c r="O15" s="21">
        <v>1.1999999999999997</v>
      </c>
      <c r="T15" s="50" t="s">
        <v>25</v>
      </c>
      <c r="U15" s="52">
        <v>100</v>
      </c>
      <c r="V15" s="52">
        <v>200</v>
      </c>
      <c r="W15" s="52">
        <v>300</v>
      </c>
      <c r="Z15" s="60"/>
    </row>
    <row r="16" spans="1:28" x14ac:dyDescent="0.3">
      <c r="A16" s="16" t="s">
        <v>30</v>
      </c>
      <c r="B16" s="1"/>
      <c r="C16" s="1" t="s">
        <v>31</v>
      </c>
      <c r="D16" s="1"/>
      <c r="E16" s="1"/>
      <c r="F16" s="1"/>
      <c r="G16" s="17"/>
      <c r="H16" s="48"/>
      <c r="I16" s="16" t="s">
        <v>30</v>
      </c>
      <c r="J16" s="1"/>
      <c r="K16" s="1" t="s">
        <v>31</v>
      </c>
      <c r="L16" s="1"/>
      <c r="M16" s="1"/>
      <c r="N16" s="1"/>
      <c r="O16" s="17"/>
    </row>
    <row r="17" spans="1:23" x14ac:dyDescent="0.3">
      <c r="A17" s="16" t="s">
        <v>33</v>
      </c>
      <c r="B17" s="1"/>
      <c r="C17" s="1" t="s">
        <v>34</v>
      </c>
      <c r="D17" s="1"/>
      <c r="E17" s="20">
        <v>0.9</v>
      </c>
      <c r="F17" s="20">
        <v>1</v>
      </c>
      <c r="G17" s="21">
        <v>1.1499999999999999</v>
      </c>
      <c r="H17" s="48"/>
      <c r="I17" s="16" t="s">
        <v>33</v>
      </c>
      <c r="J17" s="1"/>
      <c r="K17" s="1" t="s">
        <v>34</v>
      </c>
      <c r="L17" s="1"/>
      <c r="M17" s="20">
        <v>0.9</v>
      </c>
      <c r="N17" s="20">
        <v>1</v>
      </c>
      <c r="O17" s="21">
        <v>1.1499999999999999</v>
      </c>
    </row>
    <row r="18" spans="1:23" ht="15" thickBot="1" x14ac:dyDescent="0.35">
      <c r="A18" s="16"/>
      <c r="B18" s="1"/>
      <c r="C18" s="1" t="s">
        <v>35</v>
      </c>
      <c r="D18" s="1" t="s">
        <v>36</v>
      </c>
      <c r="E18" s="32">
        <v>75</v>
      </c>
      <c r="F18" s="32">
        <v>150</v>
      </c>
      <c r="G18" s="53">
        <v>225</v>
      </c>
      <c r="H18" s="48"/>
      <c r="I18" s="16"/>
      <c r="J18" s="1"/>
      <c r="K18" s="1" t="s">
        <v>35</v>
      </c>
      <c r="L18" s="1" t="s">
        <v>36</v>
      </c>
      <c r="M18" s="32">
        <v>100</v>
      </c>
      <c r="N18" s="32">
        <v>200</v>
      </c>
      <c r="O18" s="53">
        <v>300</v>
      </c>
    </row>
    <row r="19" spans="1:23" ht="15" thickBot="1" x14ac:dyDescent="0.35">
      <c r="A19" s="16"/>
      <c r="B19" s="1"/>
      <c r="C19" s="1" t="s">
        <v>38</v>
      </c>
      <c r="D19" s="1" t="s">
        <v>39</v>
      </c>
      <c r="E19" s="32">
        <v>100</v>
      </c>
      <c r="F19" s="32">
        <v>200</v>
      </c>
      <c r="G19" s="53">
        <v>270</v>
      </c>
      <c r="H19" s="48"/>
      <c r="I19" s="16"/>
      <c r="J19" s="1"/>
      <c r="K19" s="1" t="s">
        <v>38</v>
      </c>
      <c r="L19" s="1" t="s">
        <v>39</v>
      </c>
      <c r="M19" s="32">
        <f>N19/2</f>
        <v>135</v>
      </c>
      <c r="N19" s="32">
        <v>270</v>
      </c>
      <c r="O19" s="53">
        <v>350</v>
      </c>
      <c r="T19" s="15" t="s">
        <v>27</v>
      </c>
      <c r="U19" s="204" t="s">
        <v>341</v>
      </c>
      <c r="V19" s="205"/>
      <c r="W19" s="206"/>
    </row>
    <row r="20" spans="1:23" ht="15" thickBot="1" x14ac:dyDescent="0.35">
      <c r="A20" s="16"/>
      <c r="B20" s="1"/>
      <c r="C20" s="1" t="s">
        <v>41</v>
      </c>
      <c r="D20" s="1" t="s">
        <v>42</v>
      </c>
      <c r="E20" s="32">
        <v>100</v>
      </c>
      <c r="F20" s="32">
        <v>200</v>
      </c>
      <c r="G20" s="53">
        <v>270</v>
      </c>
      <c r="H20" s="48"/>
      <c r="I20" s="16"/>
      <c r="J20" s="1"/>
      <c r="K20" s="1" t="s">
        <v>41</v>
      </c>
      <c r="L20" s="1" t="s">
        <v>42</v>
      </c>
      <c r="M20" s="32">
        <f>N20/2</f>
        <v>135</v>
      </c>
      <c r="N20" s="32">
        <v>270</v>
      </c>
      <c r="O20" s="53">
        <v>350</v>
      </c>
      <c r="T20" s="4" t="s">
        <v>32</v>
      </c>
      <c r="U20" s="212">
        <v>0.6</v>
      </c>
      <c r="V20" s="212"/>
      <c r="W20" s="213"/>
    </row>
    <row r="21" spans="1:23" x14ac:dyDescent="0.3">
      <c r="A21" s="16"/>
      <c r="B21" s="1"/>
      <c r="C21" s="1" t="s">
        <v>44</v>
      </c>
      <c r="D21" s="1" t="s">
        <v>45</v>
      </c>
      <c r="E21" s="32">
        <v>100</v>
      </c>
      <c r="F21" s="32">
        <v>200</v>
      </c>
      <c r="G21" s="53">
        <v>270</v>
      </c>
      <c r="H21" s="48"/>
      <c r="I21" s="16"/>
      <c r="J21" s="1"/>
      <c r="K21" s="1" t="s">
        <v>44</v>
      </c>
      <c r="L21" s="1" t="s">
        <v>45</v>
      </c>
      <c r="M21" s="32">
        <f>N21/2</f>
        <v>135</v>
      </c>
      <c r="N21" s="32">
        <v>270</v>
      </c>
      <c r="O21" s="53">
        <v>350</v>
      </c>
      <c r="T21" s="22" t="s">
        <v>24</v>
      </c>
      <c r="U21" s="214">
        <f>U20*F29</f>
        <v>1080</v>
      </c>
      <c r="V21" s="214"/>
      <c r="W21" s="215"/>
    </row>
    <row r="22" spans="1:23" ht="15.6" x14ac:dyDescent="0.3">
      <c r="A22" s="16"/>
      <c r="B22" s="1"/>
      <c r="C22" s="1" t="s">
        <v>50</v>
      </c>
      <c r="D22" s="1" t="s">
        <v>51</v>
      </c>
      <c r="E22" s="32">
        <v>200</v>
      </c>
      <c r="F22" s="32">
        <v>400</v>
      </c>
      <c r="G22" s="53">
        <v>540</v>
      </c>
      <c r="H22" s="48"/>
      <c r="I22" s="16"/>
      <c r="J22" s="1"/>
      <c r="K22" s="1" t="s">
        <v>50</v>
      </c>
      <c r="L22" s="1" t="s">
        <v>51</v>
      </c>
      <c r="M22" s="32">
        <f>N22/2</f>
        <v>135</v>
      </c>
      <c r="N22" s="32">
        <v>270</v>
      </c>
      <c r="O22" s="53">
        <v>350</v>
      </c>
      <c r="T22" s="31" t="s">
        <v>37</v>
      </c>
      <c r="U22" s="224">
        <f>U20*F55</f>
        <v>855</v>
      </c>
      <c r="V22" s="224"/>
      <c r="W22" s="225"/>
    </row>
    <row r="23" spans="1:23" ht="15.6" x14ac:dyDescent="0.3">
      <c r="A23" s="16"/>
      <c r="B23" s="1"/>
      <c r="C23" s="1" t="s">
        <v>342</v>
      </c>
      <c r="D23" s="1" t="s">
        <v>343</v>
      </c>
      <c r="E23" s="32">
        <v>100</v>
      </c>
      <c r="F23" s="32">
        <v>200</v>
      </c>
      <c r="G23" s="53">
        <v>270</v>
      </c>
      <c r="H23" s="48"/>
      <c r="I23" s="16"/>
      <c r="J23" s="1"/>
      <c r="K23" s="1"/>
      <c r="L23" s="1"/>
      <c r="M23" s="32"/>
      <c r="N23" s="32"/>
      <c r="O23" s="53"/>
      <c r="T23" s="31"/>
      <c r="U23" s="32"/>
      <c r="V23" s="32"/>
      <c r="W23" s="33"/>
    </row>
    <row r="24" spans="1:23" ht="15.6" x14ac:dyDescent="0.3">
      <c r="A24" s="16"/>
      <c r="B24" s="47"/>
      <c r="C24" s="1"/>
      <c r="D24" s="1"/>
      <c r="E24" s="1"/>
      <c r="F24" s="1"/>
      <c r="G24" s="17"/>
      <c r="H24" s="48"/>
      <c r="I24" s="16"/>
      <c r="J24" s="47"/>
      <c r="K24" s="1"/>
      <c r="L24" s="1"/>
      <c r="M24" s="1"/>
      <c r="N24" s="1"/>
      <c r="O24" s="17"/>
      <c r="T24" s="37" t="s">
        <v>40</v>
      </c>
      <c r="U24" s="224">
        <f>U20*F84</f>
        <v>864</v>
      </c>
      <c r="V24" s="224"/>
      <c r="W24" s="225"/>
    </row>
    <row r="25" spans="1:23" ht="16.2" thickBot="1" x14ac:dyDescent="0.35">
      <c r="A25" s="16">
        <v>2</v>
      </c>
      <c r="B25" s="47"/>
      <c r="C25" s="1" t="s">
        <v>46</v>
      </c>
      <c r="D25" s="1" t="s">
        <v>39</v>
      </c>
      <c r="E25" s="32">
        <v>225</v>
      </c>
      <c r="F25" s="32">
        <v>225</v>
      </c>
      <c r="G25" s="53">
        <v>225</v>
      </c>
      <c r="H25" s="48"/>
      <c r="I25" s="16">
        <v>2</v>
      </c>
      <c r="J25" s="47"/>
      <c r="K25" s="1" t="s">
        <v>47</v>
      </c>
      <c r="L25" s="1" t="s">
        <v>39</v>
      </c>
      <c r="M25" s="32">
        <v>300</v>
      </c>
      <c r="N25" s="32">
        <v>300</v>
      </c>
      <c r="O25" s="53">
        <v>300</v>
      </c>
      <c r="T25" s="43" t="s">
        <v>43</v>
      </c>
      <c r="U25" s="218">
        <f>U20*F113</f>
        <v>720</v>
      </c>
      <c r="V25" s="218"/>
      <c r="W25" s="219"/>
    </row>
    <row r="26" spans="1:23" x14ac:dyDescent="0.3">
      <c r="A26" s="16"/>
      <c r="B26" s="47"/>
      <c r="C26" s="1"/>
      <c r="D26" s="1"/>
      <c r="E26" s="1"/>
      <c r="F26" s="1"/>
      <c r="G26" s="17"/>
      <c r="H26" s="48"/>
      <c r="I26" s="16"/>
      <c r="J26" s="47"/>
      <c r="K26" s="1"/>
      <c r="L26" s="1"/>
      <c r="M26" s="1"/>
      <c r="N26" s="1"/>
      <c r="O26" s="17"/>
    </row>
    <row r="27" spans="1:23" x14ac:dyDescent="0.3">
      <c r="A27" s="16">
        <v>3</v>
      </c>
      <c r="B27" s="1"/>
      <c r="C27" s="1" t="s">
        <v>49</v>
      </c>
      <c r="D27" s="1" t="s">
        <v>52</v>
      </c>
      <c r="E27" s="32">
        <v>225</v>
      </c>
      <c r="F27" s="32">
        <v>225</v>
      </c>
      <c r="G27" s="53">
        <v>225</v>
      </c>
      <c r="H27" s="48"/>
      <c r="I27" s="16">
        <v>3</v>
      </c>
      <c r="J27" s="1"/>
      <c r="K27" s="1" t="s">
        <v>49</v>
      </c>
      <c r="L27" s="1" t="s">
        <v>36</v>
      </c>
      <c r="M27" s="32">
        <v>300</v>
      </c>
      <c r="N27" s="32">
        <v>300</v>
      </c>
      <c r="O27" s="53">
        <v>300</v>
      </c>
    </row>
    <row r="28" spans="1:23" x14ac:dyDescent="0.3">
      <c r="A28" s="16"/>
      <c r="B28" s="1"/>
      <c r="C28" s="1"/>
      <c r="D28" s="1"/>
      <c r="E28" s="1"/>
      <c r="F28" s="1"/>
      <c r="G28" s="17"/>
      <c r="H28" s="48"/>
      <c r="I28" s="16"/>
      <c r="J28" s="1"/>
      <c r="K28" s="1"/>
      <c r="L28" s="1"/>
      <c r="M28" s="1"/>
      <c r="N28" s="1"/>
      <c r="O28" s="17"/>
    </row>
    <row r="29" spans="1:23" x14ac:dyDescent="0.3">
      <c r="A29" s="54"/>
      <c r="B29" s="55"/>
      <c r="C29" s="55"/>
      <c r="D29" s="55" t="s">
        <v>17</v>
      </c>
      <c r="E29" s="56">
        <f>SUM(E18:E27)</f>
        <v>1125</v>
      </c>
      <c r="F29" s="56">
        <f>SUM(F18:F27)</f>
        <v>1800</v>
      </c>
      <c r="G29" s="57">
        <f>SUM(G18:G27)</f>
        <v>2295</v>
      </c>
      <c r="H29" s="48"/>
      <c r="I29" s="54"/>
      <c r="J29" s="55"/>
      <c r="K29" s="55"/>
      <c r="L29" s="55" t="s">
        <v>53</v>
      </c>
      <c r="M29" s="56">
        <f>SUM(M18:M27)+M22</f>
        <v>1375</v>
      </c>
      <c r="N29" s="56">
        <f>SUM(N18:N27)+N22</f>
        <v>2150</v>
      </c>
      <c r="O29" s="57">
        <f>SUM(O18:O27)+O22</f>
        <v>2650</v>
      </c>
    </row>
    <row r="30" spans="1:23" x14ac:dyDescent="0.3">
      <c r="H30" s="48"/>
    </row>
    <row r="31" spans="1:23" ht="18" x14ac:dyDescent="0.35">
      <c r="A31" s="9"/>
      <c r="B31" s="10"/>
      <c r="C31" s="11" t="s">
        <v>22</v>
      </c>
      <c r="D31" s="11" t="s">
        <v>373</v>
      </c>
      <c r="E31" s="12" t="s">
        <v>23</v>
      </c>
      <c r="F31" s="12">
        <v>1500</v>
      </c>
      <c r="G31" s="13" t="s">
        <v>37</v>
      </c>
      <c r="H31" s="48"/>
      <c r="I31" s="9"/>
      <c r="J31" s="10"/>
      <c r="K31" s="11" t="s">
        <v>25</v>
      </c>
      <c r="L31" s="11" t="s">
        <v>55</v>
      </c>
      <c r="M31" s="12" t="s">
        <v>23</v>
      </c>
      <c r="N31" s="12">
        <v>2000</v>
      </c>
      <c r="O31" s="14"/>
    </row>
    <row r="32" spans="1:23" ht="15" hidden="1" customHeight="1" x14ac:dyDescent="0.3">
      <c r="A32" s="16" t="s">
        <v>30</v>
      </c>
      <c r="B32" s="1"/>
      <c r="C32" s="1" t="s">
        <v>31</v>
      </c>
      <c r="D32" s="1"/>
      <c r="E32" s="1"/>
      <c r="F32" s="1"/>
      <c r="G32" s="17"/>
      <c r="H32" s="48"/>
      <c r="I32" s="16" t="s">
        <v>30</v>
      </c>
      <c r="J32" s="1"/>
      <c r="K32" s="1" t="s">
        <v>31</v>
      </c>
      <c r="L32" s="1"/>
      <c r="M32" s="1"/>
      <c r="N32" s="1"/>
      <c r="O32" s="17"/>
    </row>
    <row r="33" spans="1:22" hidden="1" x14ac:dyDescent="0.3">
      <c r="A33" s="16" t="s">
        <v>33</v>
      </c>
      <c r="B33" s="1"/>
      <c r="C33" s="1" t="s">
        <v>34</v>
      </c>
      <c r="D33" s="1"/>
      <c r="E33" s="20">
        <v>0.9</v>
      </c>
      <c r="F33" s="20">
        <v>1</v>
      </c>
      <c r="G33" s="21">
        <v>1.1499999999999999</v>
      </c>
      <c r="H33" s="48"/>
      <c r="I33" s="16" t="s">
        <v>33</v>
      </c>
      <c r="J33" s="1"/>
      <c r="K33" s="1" t="s">
        <v>34</v>
      </c>
      <c r="L33" s="1"/>
      <c r="M33" s="20">
        <v>0.9</v>
      </c>
      <c r="N33" s="20">
        <v>1</v>
      </c>
      <c r="O33" s="21">
        <v>1.1499999999999999</v>
      </c>
    </row>
    <row r="34" spans="1:22" hidden="1" x14ac:dyDescent="0.3">
      <c r="A34" s="16"/>
      <c r="B34" s="1"/>
      <c r="C34" s="1" t="s">
        <v>35</v>
      </c>
      <c r="D34" s="1" t="s">
        <v>36</v>
      </c>
      <c r="E34" s="20">
        <v>0.05</v>
      </c>
      <c r="F34" s="20">
        <v>0.1</v>
      </c>
      <c r="G34" s="21">
        <v>0.15</v>
      </c>
      <c r="H34" s="48"/>
      <c r="I34" s="16"/>
      <c r="J34" s="1"/>
      <c r="K34" s="1" t="s">
        <v>35</v>
      </c>
      <c r="L34" s="1" t="s">
        <v>36</v>
      </c>
      <c r="M34" s="20">
        <v>0.05</v>
      </c>
      <c r="N34" s="20">
        <v>0.1</v>
      </c>
      <c r="O34" s="21">
        <v>0.15</v>
      </c>
    </row>
    <row r="35" spans="1:22" hidden="1" x14ac:dyDescent="0.3">
      <c r="A35" s="16"/>
      <c r="B35" s="1"/>
      <c r="C35" s="1" t="s">
        <v>38</v>
      </c>
      <c r="D35" s="1" t="s">
        <v>39</v>
      </c>
      <c r="E35" s="20">
        <v>6.25E-2</v>
      </c>
      <c r="F35" s="20">
        <v>0.125</v>
      </c>
      <c r="G35" s="21">
        <v>0.15</v>
      </c>
      <c r="H35" s="59"/>
      <c r="I35" s="16"/>
      <c r="J35" s="1"/>
      <c r="K35" s="1" t="s">
        <v>38</v>
      </c>
      <c r="L35" s="1" t="s">
        <v>39</v>
      </c>
      <c r="M35" s="34">
        <v>6.25E-2</v>
      </c>
      <c r="N35" s="34">
        <v>0.125</v>
      </c>
      <c r="O35" s="58">
        <v>0.15</v>
      </c>
    </row>
    <row r="36" spans="1:22" hidden="1" x14ac:dyDescent="0.3">
      <c r="A36" s="16"/>
      <c r="B36" s="1"/>
      <c r="C36" s="1" t="s">
        <v>41</v>
      </c>
      <c r="D36" s="1" t="s">
        <v>42</v>
      </c>
      <c r="E36" s="20">
        <v>0.125</v>
      </c>
      <c r="F36" s="20">
        <v>0.25</v>
      </c>
      <c r="G36" s="21">
        <v>0.3</v>
      </c>
      <c r="H36" s="59"/>
      <c r="I36" s="16"/>
      <c r="J36" s="1"/>
      <c r="K36" s="1" t="s">
        <v>41</v>
      </c>
      <c r="L36" s="1" t="s">
        <v>42</v>
      </c>
      <c r="M36" s="34">
        <v>0.125</v>
      </c>
      <c r="N36" s="34">
        <v>0.25</v>
      </c>
      <c r="O36" s="58">
        <v>0.3</v>
      </c>
    </row>
    <row r="37" spans="1:22" hidden="1" x14ac:dyDescent="0.3">
      <c r="A37" s="16"/>
      <c r="B37" s="1"/>
      <c r="C37" s="1" t="s">
        <v>44</v>
      </c>
      <c r="D37" s="1" t="s">
        <v>45</v>
      </c>
      <c r="E37" s="20">
        <v>6.25E-2</v>
      </c>
      <c r="F37" s="20">
        <v>0.125</v>
      </c>
      <c r="G37" s="21">
        <v>0.15</v>
      </c>
      <c r="H37" s="59"/>
      <c r="I37" s="16"/>
      <c r="J37" s="1"/>
      <c r="K37" s="1" t="s">
        <v>44</v>
      </c>
      <c r="L37" s="1" t="s">
        <v>45</v>
      </c>
      <c r="M37" s="34">
        <v>6.25E-2</v>
      </c>
      <c r="N37" s="20">
        <v>0.125</v>
      </c>
      <c r="O37" s="21">
        <v>0.15</v>
      </c>
    </row>
    <row r="38" spans="1:22" hidden="1" x14ac:dyDescent="0.3">
      <c r="A38" s="16"/>
      <c r="B38" s="1"/>
      <c r="C38" s="1"/>
      <c r="D38" s="1"/>
      <c r="E38" s="20"/>
      <c r="F38" s="20"/>
      <c r="G38" s="21"/>
      <c r="H38" s="59"/>
      <c r="I38" s="16"/>
      <c r="J38" s="1"/>
      <c r="K38" s="1"/>
      <c r="L38" s="1"/>
      <c r="M38" s="34"/>
      <c r="N38" s="20"/>
      <c r="O38" s="21"/>
    </row>
    <row r="39" spans="1:22" hidden="1" x14ac:dyDescent="0.3">
      <c r="A39" s="16"/>
      <c r="B39" s="47"/>
      <c r="C39" s="1"/>
      <c r="D39" s="1"/>
      <c r="E39" s="1"/>
      <c r="F39" s="1"/>
      <c r="G39" s="17"/>
      <c r="H39" s="48"/>
      <c r="I39" s="16"/>
      <c r="J39" s="47"/>
      <c r="K39" s="1"/>
      <c r="L39" s="1"/>
      <c r="M39" s="1"/>
      <c r="N39" s="1"/>
      <c r="O39" s="17"/>
    </row>
    <row r="40" spans="1:22" hidden="1" x14ac:dyDescent="0.3">
      <c r="A40" s="16">
        <v>2</v>
      </c>
      <c r="B40" s="47"/>
      <c r="C40" s="1" t="s">
        <v>46</v>
      </c>
      <c r="D40" s="1" t="s">
        <v>39</v>
      </c>
      <c r="E40" s="20">
        <v>0.15</v>
      </c>
      <c r="F40" s="20">
        <v>0.15</v>
      </c>
      <c r="G40" s="21">
        <v>0.15</v>
      </c>
      <c r="H40" s="48"/>
      <c r="I40" s="16">
        <v>2</v>
      </c>
      <c r="J40" s="47"/>
      <c r="K40" s="1" t="s">
        <v>47</v>
      </c>
      <c r="L40" s="1" t="s">
        <v>39</v>
      </c>
      <c r="M40" s="20">
        <v>0.15</v>
      </c>
      <c r="N40" s="20">
        <v>0.15</v>
      </c>
      <c r="O40" s="21">
        <v>0.15</v>
      </c>
    </row>
    <row r="41" spans="1:22" hidden="1" x14ac:dyDescent="0.3">
      <c r="A41" s="16"/>
      <c r="B41" s="47"/>
      <c r="C41" s="1"/>
      <c r="D41" s="1"/>
      <c r="E41" s="1"/>
      <c r="F41" s="1"/>
      <c r="G41" s="17"/>
      <c r="H41" s="48"/>
      <c r="I41" s="16"/>
      <c r="J41" s="47"/>
      <c r="K41" s="1"/>
      <c r="L41" s="1"/>
      <c r="M41" s="1"/>
      <c r="N41" s="1"/>
      <c r="O41" s="17"/>
    </row>
    <row r="42" spans="1:22" hidden="1" x14ac:dyDescent="0.3">
      <c r="A42" s="16">
        <v>3</v>
      </c>
      <c r="B42" s="1"/>
      <c r="C42" s="1" t="s">
        <v>49</v>
      </c>
      <c r="D42" s="1" t="s">
        <v>36</v>
      </c>
      <c r="E42" s="20">
        <v>0.15</v>
      </c>
      <c r="F42" s="20">
        <v>0.15</v>
      </c>
      <c r="G42" s="21">
        <v>0.15</v>
      </c>
      <c r="H42" s="48"/>
      <c r="I42" s="16">
        <v>3</v>
      </c>
      <c r="J42" s="1"/>
      <c r="K42" s="1" t="s">
        <v>49</v>
      </c>
      <c r="L42" s="1" t="s">
        <v>36</v>
      </c>
      <c r="M42" s="20">
        <v>0.15</v>
      </c>
      <c r="N42" s="20">
        <v>0.15</v>
      </c>
      <c r="O42" s="21">
        <v>0.15</v>
      </c>
    </row>
    <row r="43" spans="1:22" hidden="1" x14ac:dyDescent="0.3">
      <c r="A43" s="16"/>
      <c r="B43" s="1"/>
      <c r="C43" s="1"/>
      <c r="D43" s="1"/>
      <c r="E43" s="20">
        <v>0.6</v>
      </c>
      <c r="F43" s="20">
        <v>0.9</v>
      </c>
      <c r="G43" s="21">
        <v>1.05</v>
      </c>
      <c r="H43" s="48"/>
      <c r="I43" s="16"/>
      <c r="J43" s="1"/>
      <c r="K43" s="1"/>
      <c r="L43" s="1"/>
      <c r="M43" s="20">
        <v>0.6</v>
      </c>
      <c r="N43" s="20">
        <v>0.9</v>
      </c>
      <c r="O43" s="21">
        <v>1.05</v>
      </c>
    </row>
    <row r="44" spans="1:22" x14ac:dyDescent="0.3">
      <c r="A44" s="16" t="s">
        <v>30</v>
      </c>
      <c r="B44" s="1"/>
      <c r="C44" s="1" t="s">
        <v>31</v>
      </c>
      <c r="D44" s="1"/>
      <c r="E44" s="1"/>
      <c r="F44" s="1"/>
      <c r="G44" s="17"/>
      <c r="H44" s="48"/>
      <c r="I44" s="16" t="s">
        <v>30</v>
      </c>
      <c r="J44" s="1"/>
      <c r="K44" s="1" t="s">
        <v>31</v>
      </c>
      <c r="L44" s="1"/>
      <c r="M44" s="1"/>
      <c r="N44" s="1"/>
      <c r="O44" s="17"/>
    </row>
    <row r="45" spans="1:22" x14ac:dyDescent="0.3">
      <c r="A45" s="16" t="s">
        <v>33</v>
      </c>
      <c r="B45" s="1"/>
      <c r="C45" s="1" t="s">
        <v>34</v>
      </c>
      <c r="D45" s="1"/>
      <c r="E45" s="20">
        <v>0.9</v>
      </c>
      <c r="F45" s="20">
        <v>1</v>
      </c>
      <c r="G45" s="21">
        <v>1.1499999999999999</v>
      </c>
      <c r="H45" s="48"/>
      <c r="I45" s="16" t="s">
        <v>33</v>
      </c>
      <c r="J45" s="1"/>
      <c r="K45" s="1" t="s">
        <v>34</v>
      </c>
      <c r="L45" s="1"/>
      <c r="M45" s="20">
        <v>0.9</v>
      </c>
      <c r="N45" s="20">
        <v>1</v>
      </c>
      <c r="O45" s="21">
        <v>1.1499999999999999</v>
      </c>
    </row>
    <row r="46" spans="1:22" x14ac:dyDescent="0.3">
      <c r="A46" s="16"/>
      <c r="B46" s="1"/>
      <c r="C46" s="1" t="s">
        <v>35</v>
      </c>
      <c r="D46" s="1" t="s">
        <v>36</v>
      </c>
      <c r="E46" s="32">
        <v>75</v>
      </c>
      <c r="F46" s="32">
        <v>250</v>
      </c>
      <c r="G46" s="53">
        <v>325</v>
      </c>
      <c r="H46" s="48"/>
      <c r="I46" s="16"/>
      <c r="J46" s="1"/>
      <c r="K46" s="1" t="s">
        <v>35</v>
      </c>
      <c r="L46" s="1" t="s">
        <v>36</v>
      </c>
      <c r="M46" s="32">
        <v>100</v>
      </c>
      <c r="N46" s="32">
        <v>200</v>
      </c>
      <c r="O46" s="53">
        <v>300</v>
      </c>
    </row>
    <row r="47" spans="1:22" x14ac:dyDescent="0.3">
      <c r="A47" s="16"/>
      <c r="B47" s="1"/>
      <c r="C47" s="1" t="s">
        <v>38</v>
      </c>
      <c r="D47" s="1" t="s">
        <v>39</v>
      </c>
      <c r="E47" s="32">
        <v>110</v>
      </c>
      <c r="F47" s="32">
        <v>195</v>
      </c>
      <c r="G47" s="53">
        <v>225</v>
      </c>
      <c r="H47" s="60"/>
      <c r="I47" s="16"/>
      <c r="J47" s="1"/>
      <c r="K47" s="1" t="s">
        <v>38</v>
      </c>
      <c r="L47" s="1" t="s">
        <v>39</v>
      </c>
      <c r="M47" s="32">
        <f>N47/2</f>
        <v>112.5</v>
      </c>
      <c r="N47" s="32">
        <v>225</v>
      </c>
      <c r="O47" s="53">
        <v>270</v>
      </c>
      <c r="T47" s="73">
        <f t="shared" ref="T47:V50" si="1">E47+25</f>
        <v>135</v>
      </c>
      <c r="U47" s="73">
        <f t="shared" si="1"/>
        <v>220</v>
      </c>
      <c r="V47" s="73">
        <f t="shared" si="1"/>
        <v>250</v>
      </c>
    </row>
    <row r="48" spans="1:22" x14ac:dyDescent="0.3">
      <c r="A48" s="16"/>
      <c r="B48" s="1"/>
      <c r="C48" s="1" t="s">
        <v>41</v>
      </c>
      <c r="D48" s="1" t="s">
        <v>42</v>
      </c>
      <c r="E48" s="32">
        <v>110</v>
      </c>
      <c r="F48" s="32">
        <v>195</v>
      </c>
      <c r="G48" s="53">
        <v>225</v>
      </c>
      <c r="H48" s="60"/>
      <c r="I48" s="16"/>
      <c r="J48" s="1"/>
      <c r="K48" s="1" t="s">
        <v>41</v>
      </c>
      <c r="L48" s="1" t="s">
        <v>42</v>
      </c>
      <c r="M48" s="32">
        <f>N48/2</f>
        <v>112.5</v>
      </c>
      <c r="N48" s="32">
        <v>225</v>
      </c>
      <c r="O48" s="53">
        <v>270</v>
      </c>
      <c r="T48" s="73">
        <f t="shared" si="1"/>
        <v>135</v>
      </c>
      <c r="U48" s="73">
        <f t="shared" si="1"/>
        <v>220</v>
      </c>
      <c r="V48" s="73">
        <f t="shared" si="1"/>
        <v>250</v>
      </c>
    </row>
    <row r="49" spans="1:23" x14ac:dyDescent="0.3">
      <c r="A49" s="16"/>
      <c r="B49" s="1"/>
      <c r="C49" s="1" t="s">
        <v>44</v>
      </c>
      <c r="D49" s="1" t="s">
        <v>45</v>
      </c>
      <c r="E49" s="32">
        <v>110</v>
      </c>
      <c r="F49" s="32">
        <v>195</v>
      </c>
      <c r="G49" s="53">
        <v>225</v>
      </c>
      <c r="H49" s="60"/>
      <c r="I49" s="16"/>
      <c r="J49" s="1"/>
      <c r="K49" s="1" t="s">
        <v>44</v>
      </c>
      <c r="L49" s="1" t="s">
        <v>45</v>
      </c>
      <c r="M49" s="32">
        <f>N49/2</f>
        <v>112.5</v>
      </c>
      <c r="N49" s="32">
        <v>225</v>
      </c>
      <c r="O49" s="53">
        <v>270</v>
      </c>
      <c r="T49" s="73">
        <f t="shared" si="1"/>
        <v>135</v>
      </c>
      <c r="U49" s="73">
        <f t="shared" si="1"/>
        <v>220</v>
      </c>
      <c r="V49" s="73">
        <f t="shared" si="1"/>
        <v>250</v>
      </c>
    </row>
    <row r="50" spans="1:23" x14ac:dyDescent="0.3">
      <c r="A50" s="16"/>
      <c r="B50" s="1"/>
      <c r="C50" s="1" t="s">
        <v>50</v>
      </c>
      <c r="D50" s="1" t="s">
        <v>51</v>
      </c>
      <c r="E50" s="32">
        <v>195</v>
      </c>
      <c r="F50" s="32">
        <v>365</v>
      </c>
      <c r="G50" s="53">
        <v>425</v>
      </c>
      <c r="H50" s="48"/>
      <c r="I50" s="16"/>
      <c r="J50" s="1"/>
      <c r="K50" s="1" t="s">
        <v>50</v>
      </c>
      <c r="L50" s="1" t="s">
        <v>51</v>
      </c>
      <c r="M50" s="32">
        <f>N50/2</f>
        <v>112.5</v>
      </c>
      <c r="N50" s="32">
        <v>225</v>
      </c>
      <c r="O50" s="53">
        <v>270</v>
      </c>
      <c r="T50" s="73">
        <f t="shared" si="1"/>
        <v>220</v>
      </c>
      <c r="U50" s="73">
        <f t="shared" si="1"/>
        <v>390</v>
      </c>
      <c r="V50" s="73">
        <f t="shared" si="1"/>
        <v>450</v>
      </c>
    </row>
    <row r="51" spans="1:23" x14ac:dyDescent="0.3">
      <c r="A51" s="16"/>
      <c r="B51" s="47"/>
      <c r="C51" s="1"/>
      <c r="D51" s="1"/>
      <c r="E51" s="1"/>
      <c r="F51" s="1"/>
      <c r="G51" s="17"/>
      <c r="H51" s="48"/>
      <c r="I51" s="16"/>
      <c r="J51" s="47"/>
      <c r="K51" s="1"/>
      <c r="L51" s="1"/>
      <c r="M51" s="1"/>
      <c r="N51" s="1"/>
      <c r="O51" s="17"/>
    </row>
    <row r="52" spans="1:23" ht="15.6" x14ac:dyDescent="0.3">
      <c r="A52" s="16"/>
      <c r="B52" s="47"/>
      <c r="C52" s="1"/>
      <c r="D52" s="1"/>
      <c r="E52" s="1"/>
      <c r="F52" s="1"/>
      <c r="G52" s="17"/>
      <c r="H52" s="48"/>
      <c r="I52" s="16"/>
      <c r="J52" s="47"/>
      <c r="K52" s="1"/>
      <c r="L52" s="1"/>
      <c r="M52" s="1"/>
      <c r="N52" s="1"/>
      <c r="O52" s="17"/>
      <c r="T52" s="49"/>
      <c r="U52" s="259" t="s">
        <v>48</v>
      </c>
      <c r="V52" s="259"/>
      <c r="W52" s="259"/>
    </row>
    <row r="53" spans="1:23" x14ac:dyDescent="0.3">
      <c r="A53" s="16">
        <v>3</v>
      </c>
      <c r="B53" s="1"/>
      <c r="C53" s="1" t="s">
        <v>49</v>
      </c>
      <c r="D53" s="1" t="s">
        <v>36</v>
      </c>
      <c r="E53" s="32">
        <v>225</v>
      </c>
      <c r="F53" s="32">
        <v>225</v>
      </c>
      <c r="G53" s="53">
        <v>225</v>
      </c>
      <c r="H53" s="48"/>
      <c r="I53" s="16">
        <v>3</v>
      </c>
      <c r="J53" s="1"/>
      <c r="K53" s="1" t="s">
        <v>49</v>
      </c>
      <c r="L53" s="1" t="s">
        <v>36</v>
      </c>
      <c r="M53" s="32">
        <v>300</v>
      </c>
      <c r="N53" s="32">
        <v>300</v>
      </c>
      <c r="O53" s="53">
        <v>300</v>
      </c>
      <c r="T53" s="50"/>
      <c r="U53" s="51">
        <v>0.9</v>
      </c>
      <c r="V53" s="51">
        <v>1</v>
      </c>
      <c r="W53" s="51">
        <v>1.1499999999999999</v>
      </c>
    </row>
    <row r="54" spans="1:23" x14ac:dyDescent="0.3">
      <c r="A54" s="16"/>
      <c r="B54" s="1"/>
      <c r="C54" s="1"/>
      <c r="D54" s="1"/>
      <c r="E54" s="1"/>
      <c r="F54" s="1"/>
      <c r="G54" s="17"/>
      <c r="H54" s="48"/>
      <c r="I54" s="16"/>
      <c r="J54" s="1"/>
      <c r="K54" s="1"/>
      <c r="L54" s="1"/>
      <c r="M54" s="1"/>
      <c r="N54" s="1"/>
      <c r="O54" s="17"/>
      <c r="T54" s="50" t="s">
        <v>375</v>
      </c>
      <c r="U54" s="52">
        <v>75</v>
      </c>
      <c r="V54" s="52">
        <v>250</v>
      </c>
      <c r="W54" s="52">
        <v>325</v>
      </c>
    </row>
    <row r="55" spans="1:23" x14ac:dyDescent="0.3">
      <c r="A55" s="54"/>
      <c r="B55" s="55"/>
      <c r="C55" s="55"/>
      <c r="D55" s="55" t="s">
        <v>53</v>
      </c>
      <c r="E55" s="56">
        <f>SUM(E46:E53)</f>
        <v>825</v>
      </c>
      <c r="F55" s="56">
        <f>SUM(F46:F53)</f>
        <v>1425</v>
      </c>
      <c r="G55" s="57">
        <f>SUM(G46:G53)</f>
        <v>1650</v>
      </c>
      <c r="H55" s="48"/>
      <c r="I55" s="54"/>
      <c r="J55" s="55"/>
      <c r="K55" s="55"/>
      <c r="L55" s="55" t="s">
        <v>53</v>
      </c>
      <c r="M55" s="56">
        <f>SUM(M46:M53)+M50</f>
        <v>962.5</v>
      </c>
      <c r="N55" s="56">
        <f>SUM(N46:N53)+N50</f>
        <v>1625</v>
      </c>
      <c r="O55" s="57">
        <f>SUM(O46:O53)+O50</f>
        <v>1950</v>
      </c>
      <c r="T55" s="50" t="s">
        <v>49</v>
      </c>
      <c r="U55" s="52">
        <v>225</v>
      </c>
      <c r="V55" s="52">
        <v>225</v>
      </c>
      <c r="W55" s="52">
        <v>225</v>
      </c>
    </row>
    <row r="56" spans="1:23" x14ac:dyDescent="0.3">
      <c r="H56" s="48"/>
    </row>
    <row r="57" spans="1:23" ht="18" x14ac:dyDescent="0.35">
      <c r="A57" s="9"/>
      <c r="B57" s="10"/>
      <c r="C57" s="11" t="s">
        <v>22</v>
      </c>
      <c r="D57" s="11" t="s">
        <v>40</v>
      </c>
      <c r="E57" s="12" t="s">
        <v>23</v>
      </c>
      <c r="F57" s="12">
        <v>1500</v>
      </c>
      <c r="G57" s="13" t="s">
        <v>40</v>
      </c>
      <c r="H57" s="48"/>
      <c r="I57" s="9"/>
      <c r="J57" s="10"/>
      <c r="K57" s="11" t="s">
        <v>25</v>
      </c>
      <c r="L57" s="11" t="s">
        <v>56</v>
      </c>
      <c r="M57" s="12" t="s">
        <v>23</v>
      </c>
      <c r="N57" s="12">
        <v>200</v>
      </c>
      <c r="O57" s="14"/>
    </row>
    <row r="58" spans="1:23" x14ac:dyDescent="0.3">
      <c r="A58" s="16" t="s">
        <v>30</v>
      </c>
      <c r="B58" s="1"/>
      <c r="C58" s="1" t="s">
        <v>31</v>
      </c>
      <c r="D58" s="1"/>
      <c r="E58" s="1"/>
      <c r="F58" s="1"/>
      <c r="G58" s="17"/>
      <c r="H58" s="48"/>
      <c r="I58" s="16" t="s">
        <v>30</v>
      </c>
      <c r="J58" s="1"/>
      <c r="K58" s="1" t="s">
        <v>31</v>
      </c>
      <c r="L58" s="1"/>
      <c r="M58" s="1"/>
      <c r="N58" s="1"/>
      <c r="O58" s="17"/>
    </row>
    <row r="59" spans="1:23" x14ac:dyDescent="0.3">
      <c r="A59" s="16" t="s">
        <v>33</v>
      </c>
      <c r="B59" s="1"/>
      <c r="C59" s="1" t="s">
        <v>34</v>
      </c>
      <c r="D59" s="1"/>
      <c r="E59" s="20">
        <v>0.9</v>
      </c>
      <c r="F59" s="20">
        <v>1</v>
      </c>
      <c r="G59" s="21">
        <v>1.1499999999999999</v>
      </c>
      <c r="H59" s="48"/>
      <c r="I59" s="16" t="s">
        <v>33</v>
      </c>
      <c r="J59" s="1"/>
      <c r="K59" s="1" t="s">
        <v>34</v>
      </c>
      <c r="L59" s="1"/>
      <c r="M59" s="20">
        <v>0.9</v>
      </c>
      <c r="N59" s="20">
        <v>1</v>
      </c>
      <c r="O59" s="21">
        <v>1.1499999999999999</v>
      </c>
    </row>
    <row r="60" spans="1:23" x14ac:dyDescent="0.3">
      <c r="A60" s="16"/>
      <c r="B60" s="1"/>
      <c r="C60" s="1" t="s">
        <v>35</v>
      </c>
      <c r="D60" s="1" t="s">
        <v>36</v>
      </c>
      <c r="E60" s="20">
        <f>E73/$F$84</f>
        <v>5.2083333333333336E-2</v>
      </c>
      <c r="F60" s="20">
        <f>F73/$F$84</f>
        <v>0.10416666666666667</v>
      </c>
      <c r="G60" s="21">
        <f>G73/$F$84</f>
        <v>0.15625</v>
      </c>
      <c r="H60" s="48"/>
      <c r="I60" s="16"/>
      <c r="J60" s="1"/>
      <c r="K60" s="1" t="s">
        <v>35</v>
      </c>
      <c r="L60" s="1" t="s">
        <v>36</v>
      </c>
      <c r="M60" s="20">
        <v>0.05</v>
      </c>
      <c r="N60" s="20">
        <v>0.1</v>
      </c>
      <c r="O60" s="21">
        <v>0.15</v>
      </c>
    </row>
    <row r="61" spans="1:23" x14ac:dyDescent="0.3">
      <c r="A61" s="16"/>
      <c r="B61" s="1"/>
      <c r="C61" s="1" t="s">
        <v>38</v>
      </c>
      <c r="D61" s="1" t="s">
        <v>39</v>
      </c>
      <c r="E61" s="20">
        <f t="shared" ref="E61:G64" si="2">E74/$F$84</f>
        <v>4.8611111111111112E-2</v>
      </c>
      <c r="F61" s="20">
        <f t="shared" si="2"/>
        <v>9.7222222222222224E-2</v>
      </c>
      <c r="G61" s="21">
        <f t="shared" si="2"/>
        <v>0.12152777777777778</v>
      </c>
      <c r="H61" s="35"/>
      <c r="I61" s="16"/>
      <c r="J61" s="1"/>
      <c r="K61" s="1" t="s">
        <v>38</v>
      </c>
      <c r="L61" s="1" t="s">
        <v>39</v>
      </c>
      <c r="M61" s="34">
        <v>0.05</v>
      </c>
      <c r="N61" s="20">
        <v>0.1</v>
      </c>
      <c r="O61" s="58">
        <v>0.125</v>
      </c>
    </row>
    <row r="62" spans="1:23" x14ac:dyDescent="0.3">
      <c r="A62" s="16"/>
      <c r="B62" s="1"/>
      <c r="C62" s="1" t="s">
        <v>41</v>
      </c>
      <c r="D62" s="1" t="s">
        <v>42</v>
      </c>
      <c r="E62" s="20">
        <f t="shared" si="2"/>
        <v>4.8611111111111112E-2</v>
      </c>
      <c r="F62" s="20">
        <f t="shared" si="2"/>
        <v>9.7222222222222224E-2</v>
      </c>
      <c r="G62" s="21">
        <f t="shared" si="2"/>
        <v>0.12152777777777778</v>
      </c>
      <c r="H62" s="35"/>
      <c r="I62" s="16"/>
      <c r="J62" s="1"/>
      <c r="K62" s="1" t="s">
        <v>41</v>
      </c>
      <c r="L62" s="1" t="s">
        <v>42</v>
      </c>
      <c r="M62" s="34">
        <v>0.1</v>
      </c>
      <c r="N62" s="20">
        <v>0.2</v>
      </c>
      <c r="O62" s="58">
        <v>0.25</v>
      </c>
    </row>
    <row r="63" spans="1:23" x14ac:dyDescent="0.3">
      <c r="A63" s="16"/>
      <c r="B63" s="1"/>
      <c r="C63" s="1" t="s">
        <v>44</v>
      </c>
      <c r="D63" s="1" t="s">
        <v>45</v>
      </c>
      <c r="E63" s="20">
        <f t="shared" si="2"/>
        <v>4.8611111111111112E-2</v>
      </c>
      <c r="F63" s="20">
        <f t="shared" si="2"/>
        <v>9.7222222222222224E-2</v>
      </c>
      <c r="G63" s="21">
        <f t="shared" si="2"/>
        <v>0.12152777777777778</v>
      </c>
      <c r="H63" s="35"/>
      <c r="I63" s="16"/>
      <c r="J63" s="1"/>
      <c r="K63" s="1"/>
      <c r="L63" s="1"/>
      <c r="M63" s="34"/>
      <c r="N63" s="20"/>
      <c r="O63" s="58"/>
    </row>
    <row r="64" spans="1:23" x14ac:dyDescent="0.3">
      <c r="A64" s="16"/>
      <c r="B64" s="1"/>
      <c r="C64" s="1" t="s">
        <v>50</v>
      </c>
      <c r="D64" s="1" t="s">
        <v>51</v>
      </c>
      <c r="E64" s="20">
        <f t="shared" si="2"/>
        <v>9.7222222222222224E-2</v>
      </c>
      <c r="F64" s="20">
        <f t="shared" si="2"/>
        <v>0.19444444444444445</v>
      </c>
      <c r="G64" s="21">
        <f t="shared" si="2"/>
        <v>0.24305555555555555</v>
      </c>
      <c r="H64" s="35"/>
      <c r="I64" s="16"/>
      <c r="J64" s="1"/>
      <c r="K64" s="1" t="s">
        <v>44</v>
      </c>
      <c r="L64" s="1" t="s">
        <v>45</v>
      </c>
      <c r="M64" s="34">
        <v>0.05</v>
      </c>
      <c r="N64" s="20">
        <v>0.1</v>
      </c>
      <c r="O64" s="58">
        <v>0.125</v>
      </c>
    </row>
    <row r="65" spans="1:15" x14ac:dyDescent="0.3">
      <c r="A65" s="16"/>
      <c r="B65" s="1"/>
      <c r="C65" s="1"/>
      <c r="D65" s="1"/>
      <c r="E65" s="20"/>
      <c r="F65" s="20"/>
      <c r="G65" s="21"/>
      <c r="H65" s="35"/>
      <c r="I65" s="16"/>
      <c r="J65" s="1"/>
      <c r="K65" s="1"/>
      <c r="L65" s="1"/>
      <c r="M65" s="34"/>
      <c r="N65" s="20"/>
      <c r="O65" s="58"/>
    </row>
    <row r="66" spans="1:15" x14ac:dyDescent="0.3">
      <c r="A66" s="16"/>
      <c r="B66" s="47"/>
      <c r="C66" s="1"/>
      <c r="D66" s="1"/>
      <c r="E66" s="1"/>
      <c r="F66" s="1"/>
      <c r="G66" s="17"/>
      <c r="H66" s="48"/>
      <c r="I66" s="16"/>
      <c r="J66" s="47"/>
      <c r="K66" s="1"/>
      <c r="L66" s="1"/>
      <c r="M66" s="1"/>
      <c r="N66" s="1"/>
      <c r="O66" s="17"/>
    </row>
    <row r="67" spans="1:15" x14ac:dyDescent="0.3">
      <c r="A67" s="16">
        <v>2</v>
      </c>
      <c r="B67" s="47"/>
      <c r="C67" s="1" t="s">
        <v>46</v>
      </c>
      <c r="D67" s="1" t="s">
        <v>39</v>
      </c>
      <c r="E67" s="20">
        <f>E80/$F$84</f>
        <v>0.15625</v>
      </c>
      <c r="F67" s="20">
        <f>F80/$F$84</f>
        <v>0.15625</v>
      </c>
      <c r="G67" s="21">
        <f>G80/$F$84</f>
        <v>0.15625</v>
      </c>
      <c r="H67" s="48"/>
      <c r="I67" s="16">
        <v>2</v>
      </c>
      <c r="J67" s="47"/>
      <c r="K67" s="1" t="s">
        <v>47</v>
      </c>
      <c r="L67" s="1" t="s">
        <v>39</v>
      </c>
      <c r="M67" s="20">
        <v>0.15</v>
      </c>
      <c r="N67" s="20">
        <v>0.15</v>
      </c>
      <c r="O67" s="21">
        <v>0.15</v>
      </c>
    </row>
    <row r="68" spans="1:15" x14ac:dyDescent="0.3">
      <c r="A68" s="16"/>
      <c r="B68" s="47"/>
      <c r="C68" s="1"/>
      <c r="D68" s="1"/>
      <c r="E68" s="1"/>
      <c r="F68" s="1"/>
      <c r="G68" s="17"/>
      <c r="H68" s="48"/>
      <c r="I68" s="16"/>
      <c r="J68" s="47"/>
      <c r="K68" s="1"/>
      <c r="L68" s="1"/>
      <c r="M68" s="1"/>
      <c r="N68" s="1"/>
      <c r="O68" s="17"/>
    </row>
    <row r="69" spans="1:15" x14ac:dyDescent="0.3">
      <c r="A69" s="16">
        <v>3</v>
      </c>
      <c r="B69" s="1"/>
      <c r="C69" s="1" t="s">
        <v>49</v>
      </c>
      <c r="D69" s="1" t="s">
        <v>36</v>
      </c>
      <c r="E69" s="20">
        <f>E82/$F$84</f>
        <v>0.15625</v>
      </c>
      <c r="F69" s="20">
        <f>F82/$F$84</f>
        <v>0.15625</v>
      </c>
      <c r="G69" s="21">
        <f>G82/$F$84</f>
        <v>0.15625</v>
      </c>
      <c r="H69" s="48"/>
      <c r="I69" s="16">
        <v>3</v>
      </c>
      <c r="J69" s="1"/>
      <c r="K69" s="1" t="s">
        <v>49</v>
      </c>
      <c r="L69" s="1" t="s">
        <v>36</v>
      </c>
      <c r="M69" s="20">
        <v>0.15</v>
      </c>
      <c r="N69" s="20">
        <v>0.15</v>
      </c>
      <c r="O69" s="21">
        <v>0.15</v>
      </c>
    </row>
    <row r="70" spans="1:15" x14ac:dyDescent="0.3">
      <c r="A70" s="16"/>
      <c r="B70" s="1"/>
      <c r="C70" s="1"/>
      <c r="D70" s="1"/>
      <c r="E70" s="20">
        <f>SUM(E60:E69)</f>
        <v>0.60763888888888884</v>
      </c>
      <c r="F70" s="20">
        <f>SUM(F60:F69)</f>
        <v>0.90277777777777779</v>
      </c>
      <c r="G70" s="21">
        <f>SUM(G60:G69)</f>
        <v>1.0763888888888888</v>
      </c>
      <c r="H70" s="48"/>
      <c r="I70" s="16"/>
      <c r="J70" s="1"/>
      <c r="K70" s="1"/>
      <c r="L70" s="1"/>
      <c r="M70" s="20">
        <v>0.55000000000000004</v>
      </c>
      <c r="N70" s="20">
        <v>0.8</v>
      </c>
      <c r="O70" s="21">
        <v>0.95000000000000007</v>
      </c>
    </row>
    <row r="71" spans="1:15" x14ac:dyDescent="0.3">
      <c r="A71" s="16" t="s">
        <v>30</v>
      </c>
      <c r="B71" s="1"/>
      <c r="C71" s="1" t="s">
        <v>31</v>
      </c>
      <c r="D71" s="1"/>
      <c r="E71" s="1"/>
      <c r="F71" s="1"/>
      <c r="G71" s="17"/>
      <c r="H71" s="48"/>
      <c r="I71" s="16" t="s">
        <v>30</v>
      </c>
      <c r="J71" s="1"/>
      <c r="K71" s="1" t="s">
        <v>31</v>
      </c>
      <c r="L71" s="1"/>
      <c r="M71" s="1"/>
      <c r="N71" s="1"/>
      <c r="O71" s="17"/>
    </row>
    <row r="72" spans="1:15" x14ac:dyDescent="0.3">
      <c r="A72" s="16" t="s">
        <v>33</v>
      </c>
      <c r="B72" s="1"/>
      <c r="C72" s="1" t="s">
        <v>34</v>
      </c>
      <c r="D72" s="1"/>
      <c r="E72" s="20">
        <v>0.9</v>
      </c>
      <c r="F72" s="20">
        <v>1</v>
      </c>
      <c r="G72" s="21">
        <v>1.1499999999999999</v>
      </c>
      <c r="H72" s="48"/>
      <c r="I72" s="16" t="s">
        <v>33</v>
      </c>
      <c r="J72" s="1"/>
      <c r="K72" s="1" t="s">
        <v>34</v>
      </c>
      <c r="L72" s="1"/>
      <c r="M72" s="20">
        <v>0.9</v>
      </c>
      <c r="N72" s="20">
        <v>1</v>
      </c>
      <c r="O72" s="21">
        <v>1.1499999999999999</v>
      </c>
    </row>
    <row r="73" spans="1:15" x14ac:dyDescent="0.3">
      <c r="A73" s="16"/>
      <c r="B73" s="1"/>
      <c r="C73" s="1" t="s">
        <v>35</v>
      </c>
      <c r="D73" s="1" t="s">
        <v>36</v>
      </c>
      <c r="E73" s="32">
        <v>75</v>
      </c>
      <c r="F73" s="32">
        <v>150</v>
      </c>
      <c r="G73" s="53">
        <v>225</v>
      </c>
      <c r="H73" s="48"/>
      <c r="I73" s="16"/>
      <c r="J73" s="1"/>
      <c r="K73" s="1" t="s">
        <v>35</v>
      </c>
      <c r="L73" s="1" t="s">
        <v>36</v>
      </c>
      <c r="M73" s="32">
        <v>100</v>
      </c>
      <c r="N73" s="32">
        <v>200</v>
      </c>
      <c r="O73" s="53">
        <v>300</v>
      </c>
    </row>
    <row r="74" spans="1:15" x14ac:dyDescent="0.3">
      <c r="A74" s="16"/>
      <c r="B74" s="1"/>
      <c r="C74" s="1" t="s">
        <v>38</v>
      </c>
      <c r="D74" s="1" t="s">
        <v>39</v>
      </c>
      <c r="E74" s="32">
        <v>70</v>
      </c>
      <c r="F74" s="32">
        <v>140</v>
      </c>
      <c r="G74" s="53">
        <v>175</v>
      </c>
      <c r="H74" s="60"/>
      <c r="I74" s="16"/>
      <c r="J74" s="1"/>
      <c r="K74" s="1" t="s">
        <v>38</v>
      </c>
      <c r="L74" s="1" t="s">
        <v>39</v>
      </c>
      <c r="M74" s="32">
        <v>85</v>
      </c>
      <c r="N74" s="32">
        <v>170</v>
      </c>
      <c r="O74" s="53">
        <v>220</v>
      </c>
    </row>
    <row r="75" spans="1:15" x14ac:dyDescent="0.3">
      <c r="A75" s="16"/>
      <c r="B75" s="1"/>
      <c r="C75" s="1" t="s">
        <v>41</v>
      </c>
      <c r="D75" s="1" t="s">
        <v>42</v>
      </c>
      <c r="E75" s="32">
        <v>70</v>
      </c>
      <c r="F75" s="32">
        <v>140</v>
      </c>
      <c r="G75" s="53">
        <v>175</v>
      </c>
      <c r="H75" s="60"/>
      <c r="I75" s="16"/>
      <c r="J75" s="1"/>
      <c r="K75" s="1" t="s">
        <v>41</v>
      </c>
      <c r="L75" s="1" t="s">
        <v>42</v>
      </c>
      <c r="M75" s="32">
        <v>85</v>
      </c>
      <c r="N75" s="32">
        <v>170</v>
      </c>
      <c r="O75" s="53">
        <v>220</v>
      </c>
    </row>
    <row r="76" spans="1:15" x14ac:dyDescent="0.3">
      <c r="A76" s="16"/>
      <c r="B76" s="1"/>
      <c r="C76" s="1" t="s">
        <v>44</v>
      </c>
      <c r="D76" s="1" t="s">
        <v>45</v>
      </c>
      <c r="E76" s="32">
        <v>70</v>
      </c>
      <c r="F76" s="32">
        <v>140</v>
      </c>
      <c r="G76" s="53">
        <v>175</v>
      </c>
      <c r="H76" s="60"/>
      <c r="I76" s="16"/>
      <c r="J76" s="1"/>
      <c r="K76" s="1" t="s">
        <v>44</v>
      </c>
      <c r="L76" s="1" t="s">
        <v>45</v>
      </c>
      <c r="M76" s="32">
        <v>85</v>
      </c>
      <c r="N76" s="32">
        <v>170</v>
      </c>
      <c r="O76" s="53">
        <v>220</v>
      </c>
    </row>
    <row r="77" spans="1:15" x14ac:dyDescent="0.3">
      <c r="A77" s="16"/>
      <c r="B77" s="1"/>
      <c r="C77" s="1" t="s">
        <v>50</v>
      </c>
      <c r="D77" s="1" t="s">
        <v>51</v>
      </c>
      <c r="E77" s="32">
        <v>140</v>
      </c>
      <c r="F77" s="32">
        <v>280</v>
      </c>
      <c r="G77" s="53">
        <v>350</v>
      </c>
      <c r="H77" s="48"/>
      <c r="I77" s="16"/>
      <c r="J77" s="1"/>
      <c r="K77" s="1" t="s">
        <v>50</v>
      </c>
      <c r="L77" s="1" t="s">
        <v>51</v>
      </c>
      <c r="M77" s="32">
        <v>85</v>
      </c>
      <c r="N77" s="32">
        <v>170</v>
      </c>
      <c r="O77" s="53">
        <v>220</v>
      </c>
    </row>
    <row r="78" spans="1:15" x14ac:dyDescent="0.3">
      <c r="A78" s="16"/>
      <c r="B78" s="1"/>
      <c r="C78" s="1" t="s">
        <v>342</v>
      </c>
      <c r="D78" s="1" t="s">
        <v>343</v>
      </c>
      <c r="E78" s="32">
        <v>70</v>
      </c>
      <c r="F78" s="32">
        <v>140</v>
      </c>
      <c r="G78" s="53">
        <v>175</v>
      </c>
      <c r="H78" s="48"/>
      <c r="I78" s="16"/>
      <c r="J78" s="1"/>
      <c r="K78" s="1"/>
      <c r="L78" s="1"/>
      <c r="M78" s="32"/>
      <c r="N78" s="32"/>
      <c r="O78" s="53"/>
    </row>
    <row r="79" spans="1:15" x14ac:dyDescent="0.3">
      <c r="A79" s="16"/>
      <c r="B79" s="47"/>
      <c r="C79" s="1"/>
      <c r="D79" s="1"/>
      <c r="E79" s="1"/>
      <c r="F79" s="1"/>
      <c r="G79" s="17"/>
      <c r="H79" s="48"/>
      <c r="I79" s="16"/>
      <c r="J79" s="47"/>
      <c r="K79" s="1"/>
      <c r="L79" s="1"/>
      <c r="M79" s="1"/>
      <c r="N79" s="1"/>
      <c r="O79" s="17"/>
    </row>
    <row r="80" spans="1:15" x14ac:dyDescent="0.3">
      <c r="A80" s="16">
        <v>2</v>
      </c>
      <c r="B80" s="47"/>
      <c r="C80" s="1" t="s">
        <v>46</v>
      </c>
      <c r="D80" s="1" t="s">
        <v>39</v>
      </c>
      <c r="E80" s="32">
        <v>225</v>
      </c>
      <c r="F80" s="32">
        <v>225</v>
      </c>
      <c r="G80" s="53">
        <v>225</v>
      </c>
      <c r="H80" s="48"/>
      <c r="I80" s="16">
        <v>2</v>
      </c>
      <c r="J80" s="47"/>
      <c r="K80" s="1" t="s">
        <v>47</v>
      </c>
      <c r="L80" s="1" t="s">
        <v>39</v>
      </c>
      <c r="M80" s="32">
        <v>300</v>
      </c>
      <c r="N80" s="32">
        <v>300</v>
      </c>
      <c r="O80" s="53">
        <v>300</v>
      </c>
    </row>
    <row r="81" spans="1:15" x14ac:dyDescent="0.3">
      <c r="A81" s="16"/>
      <c r="B81" s="47"/>
      <c r="C81" s="1"/>
      <c r="D81" s="1"/>
      <c r="E81" s="1"/>
      <c r="F81" s="1"/>
      <c r="G81" s="17"/>
      <c r="H81" s="48"/>
      <c r="I81" s="16"/>
      <c r="J81" s="47"/>
      <c r="K81" s="1"/>
      <c r="L81" s="1"/>
      <c r="M81" s="1"/>
      <c r="N81" s="1"/>
      <c r="O81" s="17"/>
    </row>
    <row r="82" spans="1:15" x14ac:dyDescent="0.3">
      <c r="A82" s="16">
        <v>3</v>
      </c>
      <c r="B82" s="1"/>
      <c r="C82" s="1" t="s">
        <v>49</v>
      </c>
      <c r="D82" s="1" t="s">
        <v>36</v>
      </c>
      <c r="E82" s="32">
        <v>225</v>
      </c>
      <c r="F82" s="32">
        <v>225</v>
      </c>
      <c r="G82" s="53">
        <v>225</v>
      </c>
      <c r="H82" s="48"/>
      <c r="I82" s="16">
        <v>3</v>
      </c>
      <c r="J82" s="1"/>
      <c r="K82" s="1" t="s">
        <v>49</v>
      </c>
      <c r="L82" s="1" t="s">
        <v>36</v>
      </c>
      <c r="M82" s="32">
        <v>300</v>
      </c>
      <c r="N82" s="32">
        <v>300</v>
      </c>
      <c r="O82" s="53">
        <v>300</v>
      </c>
    </row>
    <row r="83" spans="1:15" x14ac:dyDescent="0.3">
      <c r="A83" s="16"/>
      <c r="B83" s="1"/>
      <c r="C83" s="1"/>
      <c r="D83" s="1"/>
      <c r="E83" s="1"/>
      <c r="F83" s="1"/>
      <c r="G83" s="17"/>
      <c r="H83" s="48"/>
      <c r="I83" s="16"/>
      <c r="J83" s="1"/>
      <c r="K83" s="1"/>
      <c r="L83" s="1"/>
      <c r="M83" s="1"/>
      <c r="N83" s="1"/>
      <c r="O83" s="17"/>
    </row>
    <row r="84" spans="1:15" x14ac:dyDescent="0.3">
      <c r="A84" s="54"/>
      <c r="B84" s="55"/>
      <c r="C84" s="55"/>
      <c r="D84" s="55" t="s">
        <v>17</v>
      </c>
      <c r="E84" s="56">
        <f>SUM(E73:E82)</f>
        <v>945</v>
      </c>
      <c r="F84" s="56">
        <f>SUM(F73:F82)</f>
        <v>1440</v>
      </c>
      <c r="G84" s="57">
        <f>SUM(G73:G82)</f>
        <v>1725</v>
      </c>
      <c r="H84" s="48"/>
      <c r="I84" s="54"/>
      <c r="J84" s="55"/>
      <c r="K84" s="55"/>
      <c r="L84" s="55" t="s">
        <v>53</v>
      </c>
      <c r="M84" s="56">
        <f>SUM(M73:M82)+M77</f>
        <v>1125</v>
      </c>
      <c r="N84" s="56">
        <f>SUM(N73:N82)+N77</f>
        <v>1650</v>
      </c>
      <c r="O84" s="57">
        <f>SUM(O73:O82)+O77</f>
        <v>2000</v>
      </c>
    </row>
    <row r="85" spans="1:15" x14ac:dyDescent="0.3">
      <c r="H85" s="48"/>
      <c r="I85" s="48"/>
    </row>
    <row r="86" spans="1:15" ht="18" x14ac:dyDescent="0.35">
      <c r="A86" s="9"/>
      <c r="B86" s="10"/>
      <c r="C86" s="11" t="s">
        <v>22</v>
      </c>
      <c r="D86" s="11" t="s">
        <v>57</v>
      </c>
      <c r="E86" s="12" t="s">
        <v>23</v>
      </c>
      <c r="F86" s="12">
        <v>1500</v>
      </c>
      <c r="G86" s="13" t="s">
        <v>43</v>
      </c>
      <c r="H86" s="48"/>
      <c r="I86" s="48"/>
    </row>
    <row r="87" spans="1:15" x14ac:dyDescent="0.3">
      <c r="A87" s="16" t="s">
        <v>30</v>
      </c>
      <c r="B87" s="1"/>
      <c r="C87" s="1" t="s">
        <v>31</v>
      </c>
      <c r="D87" s="1"/>
      <c r="E87" s="1"/>
      <c r="F87" s="1"/>
      <c r="G87" s="17"/>
      <c r="H87" s="48"/>
      <c r="I87" s="48"/>
    </row>
    <row r="88" spans="1:15" x14ac:dyDescent="0.3">
      <c r="A88" s="16" t="s">
        <v>33</v>
      </c>
      <c r="B88" s="1"/>
      <c r="C88" s="1" t="s">
        <v>34</v>
      </c>
      <c r="D88" s="1"/>
      <c r="E88" s="20">
        <v>0.9</v>
      </c>
      <c r="F88" s="20">
        <v>1</v>
      </c>
      <c r="G88" s="21">
        <v>1.1499999999999999</v>
      </c>
      <c r="H88" s="48"/>
      <c r="I88" s="48"/>
    </row>
    <row r="89" spans="1:15" x14ac:dyDescent="0.3">
      <c r="A89" s="16"/>
      <c r="B89" s="1"/>
      <c r="C89" s="1" t="s">
        <v>35</v>
      </c>
      <c r="D89" s="1" t="s">
        <v>36</v>
      </c>
      <c r="E89" s="20">
        <v>0.05</v>
      </c>
      <c r="F89" s="20">
        <v>0.1</v>
      </c>
      <c r="G89" s="21">
        <v>0.15</v>
      </c>
      <c r="H89" s="48"/>
      <c r="I89" s="48"/>
    </row>
    <row r="90" spans="1:15" x14ac:dyDescent="0.3">
      <c r="A90" s="16"/>
      <c r="B90" s="1"/>
      <c r="C90" s="1" t="s">
        <v>38</v>
      </c>
      <c r="D90" s="1" t="s">
        <v>39</v>
      </c>
      <c r="E90" s="34">
        <v>3.7499999999999999E-2</v>
      </c>
      <c r="F90" s="34">
        <v>7.4999999999999997E-2</v>
      </c>
      <c r="G90" s="58">
        <v>0.1</v>
      </c>
      <c r="H90" s="35"/>
      <c r="I90" s="48"/>
    </row>
    <row r="91" spans="1:15" x14ac:dyDescent="0.3">
      <c r="A91" s="16"/>
      <c r="B91" s="1"/>
      <c r="C91" s="1" t="s">
        <v>41</v>
      </c>
      <c r="D91" s="1" t="s">
        <v>42</v>
      </c>
      <c r="E91" s="34">
        <v>7.4999999999999997E-2</v>
      </c>
      <c r="F91" s="34">
        <v>0.15</v>
      </c>
      <c r="G91" s="58">
        <v>0.2</v>
      </c>
      <c r="H91" s="35"/>
      <c r="I91" s="48"/>
    </row>
    <row r="92" spans="1:15" x14ac:dyDescent="0.3">
      <c r="A92" s="16"/>
      <c r="B92" s="1"/>
      <c r="C92" s="1" t="s">
        <v>44</v>
      </c>
      <c r="D92" s="1" t="s">
        <v>45</v>
      </c>
      <c r="E92" s="34">
        <v>3.7499999999999999E-2</v>
      </c>
      <c r="F92" s="20">
        <v>7.4999999999999997E-2</v>
      </c>
      <c r="G92" s="58">
        <v>0.1</v>
      </c>
      <c r="H92" s="35"/>
      <c r="I92" s="48"/>
    </row>
    <row r="93" spans="1:15" x14ac:dyDescent="0.3">
      <c r="A93" s="16"/>
      <c r="B93" s="1"/>
      <c r="C93" s="1"/>
      <c r="D93" s="1"/>
      <c r="E93" s="34"/>
      <c r="F93" s="20"/>
      <c r="G93" s="58"/>
      <c r="H93" s="35"/>
      <c r="I93" s="48"/>
    </row>
    <row r="94" spans="1:15" x14ac:dyDescent="0.3">
      <c r="A94" s="16"/>
      <c r="B94" s="1"/>
      <c r="C94" s="1"/>
      <c r="D94" s="1"/>
      <c r="E94" s="34"/>
      <c r="F94" s="20"/>
      <c r="G94" s="58"/>
      <c r="H94" s="35"/>
      <c r="I94" s="48"/>
    </row>
    <row r="95" spans="1:15" x14ac:dyDescent="0.3">
      <c r="A95" s="16"/>
      <c r="B95" s="47"/>
      <c r="C95" s="1"/>
      <c r="D95" s="1"/>
      <c r="E95" s="1"/>
      <c r="F95" s="1"/>
      <c r="G95" s="17"/>
      <c r="H95" s="48"/>
      <c r="I95" s="48"/>
    </row>
    <row r="96" spans="1:15" x14ac:dyDescent="0.3">
      <c r="A96" s="16">
        <v>2</v>
      </c>
      <c r="B96" s="47"/>
      <c r="C96" s="1" t="s">
        <v>46</v>
      </c>
      <c r="D96" s="1" t="s">
        <v>39</v>
      </c>
      <c r="E96" s="20">
        <v>0.15</v>
      </c>
      <c r="F96" s="20">
        <v>0.15</v>
      </c>
      <c r="G96" s="21">
        <v>0.15</v>
      </c>
      <c r="H96" s="48"/>
      <c r="I96" s="48"/>
    </row>
    <row r="97" spans="1:12" x14ac:dyDescent="0.3">
      <c r="A97" s="16"/>
      <c r="B97" s="47"/>
      <c r="C97" s="1"/>
      <c r="D97" s="1"/>
      <c r="E97" s="1"/>
      <c r="F97" s="1"/>
      <c r="G97" s="17"/>
      <c r="H97" s="48"/>
      <c r="I97" s="48"/>
    </row>
    <row r="98" spans="1:12" x14ac:dyDescent="0.3">
      <c r="A98" s="16">
        <v>3</v>
      </c>
      <c r="B98" s="1"/>
      <c r="C98" s="1" t="s">
        <v>49</v>
      </c>
      <c r="D98" s="1" t="s">
        <v>36</v>
      </c>
      <c r="E98" s="20">
        <v>0.15</v>
      </c>
      <c r="F98" s="20">
        <v>0.15</v>
      </c>
      <c r="G98" s="21">
        <v>0.15</v>
      </c>
      <c r="H98" s="48"/>
      <c r="I98" s="48"/>
    </row>
    <row r="99" spans="1:12" x14ac:dyDescent="0.3">
      <c r="A99" s="16"/>
      <c r="B99" s="1"/>
      <c r="C99" s="1"/>
      <c r="D99" s="1"/>
      <c r="E99" s="20">
        <v>0.5</v>
      </c>
      <c r="F99" s="20">
        <v>0.7</v>
      </c>
      <c r="G99" s="21">
        <v>0.85000000000000009</v>
      </c>
      <c r="H99" s="48"/>
      <c r="I99" s="48"/>
    </row>
    <row r="100" spans="1:12" x14ac:dyDescent="0.3">
      <c r="A100" s="16" t="s">
        <v>30</v>
      </c>
      <c r="B100" s="1"/>
      <c r="C100" s="1" t="s">
        <v>31</v>
      </c>
      <c r="D100" s="1"/>
      <c r="E100" s="1"/>
      <c r="F100" s="1"/>
      <c r="G100" s="17"/>
      <c r="H100" s="48"/>
      <c r="I100" s="48"/>
    </row>
    <row r="101" spans="1:12" x14ac:dyDescent="0.3">
      <c r="A101" s="16" t="s">
        <v>33</v>
      </c>
      <c r="B101" s="1"/>
      <c r="C101" s="1" t="s">
        <v>34</v>
      </c>
      <c r="D101" s="1"/>
      <c r="E101" s="20">
        <v>0.9</v>
      </c>
      <c r="F101" s="20">
        <v>1</v>
      </c>
      <c r="G101" s="21">
        <v>1.1499999999999999</v>
      </c>
      <c r="H101" s="48"/>
      <c r="I101" s="48"/>
    </row>
    <row r="102" spans="1:12" x14ac:dyDescent="0.3">
      <c r="A102" s="16"/>
      <c r="B102" s="1"/>
      <c r="C102" s="1" t="s">
        <v>35</v>
      </c>
      <c r="D102" s="1" t="s">
        <v>36</v>
      </c>
      <c r="E102" s="32">
        <v>75</v>
      </c>
      <c r="F102" s="32">
        <v>150</v>
      </c>
      <c r="G102" s="53">
        <v>225</v>
      </c>
      <c r="H102" s="48"/>
      <c r="I102" s="48">
        <f>E102/775</f>
        <v>9.6774193548387094E-2</v>
      </c>
      <c r="L102" s="73">
        <f>I102*$K$104</f>
        <v>35.260838709677415</v>
      </c>
    </row>
    <row r="103" spans="1:12" x14ac:dyDescent="0.3">
      <c r="A103" s="16"/>
      <c r="B103" s="1"/>
      <c r="C103" s="1" t="s">
        <v>38</v>
      </c>
      <c r="D103" s="1" t="s">
        <v>39</v>
      </c>
      <c r="E103" s="32">
        <v>50</v>
      </c>
      <c r="F103" s="32">
        <v>100</v>
      </c>
      <c r="G103" s="53">
        <v>125</v>
      </c>
      <c r="H103" s="60"/>
      <c r="I103" s="48">
        <f t="shared" ref="I103:I113" si="3">E103/775</f>
        <v>6.4516129032258063E-2</v>
      </c>
      <c r="L103" s="73">
        <f t="shared" ref="L103:L113" si="4">I103*$K$104</f>
        <v>23.507225806451611</v>
      </c>
    </row>
    <row r="104" spans="1:12" x14ac:dyDescent="0.3">
      <c r="A104" s="16"/>
      <c r="B104" s="1"/>
      <c r="C104" s="1" t="s">
        <v>41</v>
      </c>
      <c r="D104" s="1" t="s">
        <v>42</v>
      </c>
      <c r="E104" s="32">
        <v>50</v>
      </c>
      <c r="F104" s="32">
        <v>100</v>
      </c>
      <c r="G104" s="53">
        <v>125</v>
      </c>
      <c r="H104" s="60"/>
      <c r="I104" s="48">
        <f t="shared" si="3"/>
        <v>6.4516129032258063E-2</v>
      </c>
      <c r="K104" s="60">
        <v>364.36199999999997</v>
      </c>
      <c r="L104" s="73">
        <f t="shared" si="4"/>
        <v>23.507225806451611</v>
      </c>
    </row>
    <row r="105" spans="1:12" x14ac:dyDescent="0.3">
      <c r="A105" s="16"/>
      <c r="B105" s="1"/>
      <c r="C105" s="1" t="s">
        <v>44</v>
      </c>
      <c r="D105" s="1" t="s">
        <v>45</v>
      </c>
      <c r="E105" s="32">
        <v>50</v>
      </c>
      <c r="F105" s="32">
        <v>100</v>
      </c>
      <c r="G105" s="53">
        <v>125</v>
      </c>
      <c r="H105" s="60"/>
      <c r="I105" s="48">
        <f t="shared" si="3"/>
        <v>6.4516129032258063E-2</v>
      </c>
      <c r="L105" s="73">
        <f t="shared" si="4"/>
        <v>23.507225806451611</v>
      </c>
    </row>
    <row r="106" spans="1:12" x14ac:dyDescent="0.3">
      <c r="A106" s="16"/>
      <c r="B106" s="1"/>
      <c r="C106" s="1" t="s">
        <v>50</v>
      </c>
      <c r="D106" s="1" t="s">
        <v>51</v>
      </c>
      <c r="E106" s="32">
        <v>100</v>
      </c>
      <c r="F106" s="32">
        <v>200</v>
      </c>
      <c r="G106" s="53">
        <v>250</v>
      </c>
      <c r="H106" s="48"/>
      <c r="I106" s="48">
        <f t="shared" si="3"/>
        <v>0.12903225806451613</v>
      </c>
      <c r="L106" s="73">
        <f t="shared" si="4"/>
        <v>47.014451612903223</v>
      </c>
    </row>
    <row r="107" spans="1:12" x14ac:dyDescent="0.3">
      <c r="A107" s="16"/>
      <c r="B107" s="1"/>
      <c r="C107" s="1" t="s">
        <v>342</v>
      </c>
      <c r="D107" s="1" t="s">
        <v>343</v>
      </c>
      <c r="E107" s="32">
        <v>50</v>
      </c>
      <c r="F107" s="32">
        <v>100</v>
      </c>
      <c r="G107" s="53">
        <v>125</v>
      </c>
      <c r="H107" s="48"/>
      <c r="I107" s="48">
        <f t="shared" si="3"/>
        <v>6.4516129032258063E-2</v>
      </c>
      <c r="L107" s="73">
        <f t="shared" si="4"/>
        <v>23.507225806451611</v>
      </c>
    </row>
    <row r="108" spans="1:12" x14ac:dyDescent="0.3">
      <c r="A108" s="16"/>
      <c r="B108" s="47"/>
      <c r="C108" s="1"/>
      <c r="D108" s="1"/>
      <c r="E108" s="1"/>
      <c r="F108" s="1"/>
      <c r="G108" s="17"/>
      <c r="H108" s="48"/>
      <c r="I108" s="48">
        <f t="shared" si="3"/>
        <v>0</v>
      </c>
      <c r="K108" s="73"/>
      <c r="L108" s="73">
        <f t="shared" si="4"/>
        <v>0</v>
      </c>
    </row>
    <row r="109" spans="1:12" x14ac:dyDescent="0.3">
      <c r="A109" s="16">
        <v>2</v>
      </c>
      <c r="B109" s="47"/>
      <c r="C109" s="1" t="s">
        <v>46</v>
      </c>
      <c r="D109" s="1" t="s">
        <v>39</v>
      </c>
      <c r="E109" s="32">
        <v>225</v>
      </c>
      <c r="F109" s="32">
        <v>225</v>
      </c>
      <c r="G109" s="53">
        <v>225</v>
      </c>
      <c r="H109" s="48"/>
      <c r="I109" s="48">
        <v>0.28999999999999998</v>
      </c>
      <c r="L109" s="73">
        <f t="shared" si="4"/>
        <v>105.66497999999999</v>
      </c>
    </row>
    <row r="110" spans="1:12" x14ac:dyDescent="0.3">
      <c r="A110" s="16"/>
      <c r="B110" s="47"/>
      <c r="C110" s="1"/>
      <c r="D110" s="1"/>
      <c r="E110" s="1"/>
      <c r="F110" s="1"/>
      <c r="G110" s="17"/>
      <c r="H110" s="48"/>
      <c r="I110" s="48">
        <f t="shared" si="3"/>
        <v>0</v>
      </c>
      <c r="L110" s="73">
        <f t="shared" si="4"/>
        <v>0</v>
      </c>
    </row>
    <row r="111" spans="1:12" x14ac:dyDescent="0.3">
      <c r="A111" s="16">
        <v>3</v>
      </c>
      <c r="B111" s="1"/>
      <c r="C111" s="1" t="s">
        <v>49</v>
      </c>
      <c r="D111" s="1" t="s">
        <v>36</v>
      </c>
      <c r="E111" s="32">
        <v>225</v>
      </c>
      <c r="F111" s="32">
        <v>225</v>
      </c>
      <c r="G111" s="53">
        <v>225</v>
      </c>
      <c r="H111" s="48"/>
      <c r="I111" s="48">
        <v>0.28999999999999998</v>
      </c>
      <c r="L111" s="73">
        <f t="shared" si="4"/>
        <v>105.66497999999999</v>
      </c>
    </row>
    <row r="112" spans="1:12" x14ac:dyDescent="0.3">
      <c r="A112" s="16"/>
      <c r="B112" s="1"/>
      <c r="C112" s="1"/>
      <c r="D112" s="1"/>
      <c r="E112" s="1"/>
      <c r="F112" s="1"/>
      <c r="G112" s="17"/>
      <c r="H112" s="48"/>
      <c r="I112" s="48">
        <f t="shared" si="3"/>
        <v>0</v>
      </c>
      <c r="L112" s="73">
        <f t="shared" si="4"/>
        <v>0</v>
      </c>
    </row>
    <row r="113" spans="1:12" x14ac:dyDescent="0.3">
      <c r="A113" s="54"/>
      <c r="B113" s="55"/>
      <c r="C113" s="55"/>
      <c r="D113" s="55" t="s">
        <v>53</v>
      </c>
      <c r="E113" s="56">
        <f>SUM(E102:E111)</f>
        <v>825</v>
      </c>
      <c r="F113" s="56">
        <f>SUM(F102:F111)</f>
        <v>1200</v>
      </c>
      <c r="G113" s="57">
        <f>SUM(G102:G111)</f>
        <v>1425</v>
      </c>
      <c r="H113" s="48"/>
      <c r="I113" s="48">
        <f t="shared" si="3"/>
        <v>1.064516129032258</v>
      </c>
      <c r="L113" s="73">
        <f t="shared" si="4"/>
        <v>387.86922580645154</v>
      </c>
    </row>
    <row r="115" spans="1:12" ht="18" x14ac:dyDescent="0.35">
      <c r="A115" s="9"/>
      <c r="B115" s="10"/>
      <c r="C115" s="11" t="s">
        <v>22</v>
      </c>
      <c r="D115" s="11" t="s">
        <v>351</v>
      </c>
      <c r="E115" s="12" t="s">
        <v>23</v>
      </c>
      <c r="F115" s="12">
        <v>1500</v>
      </c>
      <c r="G115" s="13" t="s">
        <v>43</v>
      </c>
    </row>
    <row r="116" spans="1:12" hidden="1" x14ac:dyDescent="0.3">
      <c r="A116" s="16" t="s">
        <v>30</v>
      </c>
      <c r="B116" s="1"/>
      <c r="C116" s="1" t="s">
        <v>31</v>
      </c>
      <c r="D116" s="1"/>
      <c r="E116" s="1"/>
      <c r="F116" s="1"/>
      <c r="G116" s="17"/>
    </row>
    <row r="117" spans="1:12" hidden="1" x14ac:dyDescent="0.3">
      <c r="A117" s="16" t="s">
        <v>33</v>
      </c>
      <c r="B117" s="1"/>
      <c r="C117" s="1" t="s">
        <v>34</v>
      </c>
      <c r="D117" s="1"/>
      <c r="E117" s="20">
        <v>0.9</v>
      </c>
      <c r="F117" s="20">
        <v>1</v>
      </c>
      <c r="G117" s="21">
        <v>1.1499999999999999</v>
      </c>
    </row>
    <row r="118" spans="1:12" hidden="1" x14ac:dyDescent="0.3">
      <c r="A118" s="16"/>
      <c r="B118" s="1"/>
      <c r="C118" s="1" t="s">
        <v>35</v>
      </c>
      <c r="D118" s="1" t="s">
        <v>36</v>
      </c>
      <c r="E118" s="20">
        <v>0.05</v>
      </c>
      <c r="F118" s="20">
        <v>0.1</v>
      </c>
      <c r="G118" s="21">
        <v>0.15</v>
      </c>
    </row>
    <row r="119" spans="1:12" hidden="1" x14ac:dyDescent="0.3">
      <c r="A119" s="16"/>
      <c r="B119" s="1"/>
      <c r="C119" s="1" t="s">
        <v>38</v>
      </c>
      <c r="D119" s="1" t="s">
        <v>39</v>
      </c>
      <c r="E119" s="34">
        <v>3.7499999999999999E-2</v>
      </c>
      <c r="F119" s="34">
        <v>7.4999999999999997E-2</v>
      </c>
      <c r="G119" s="58">
        <v>0.1</v>
      </c>
    </row>
    <row r="120" spans="1:12" hidden="1" x14ac:dyDescent="0.3">
      <c r="A120" s="16"/>
      <c r="B120" s="1"/>
      <c r="C120" s="1" t="s">
        <v>41</v>
      </c>
      <c r="D120" s="1" t="s">
        <v>42</v>
      </c>
      <c r="E120" s="34">
        <v>7.4999999999999997E-2</v>
      </c>
      <c r="F120" s="34">
        <v>0.15</v>
      </c>
      <c r="G120" s="58">
        <v>0.2</v>
      </c>
    </row>
    <row r="121" spans="1:12" hidden="1" x14ac:dyDescent="0.3">
      <c r="A121" s="16"/>
      <c r="B121" s="1"/>
      <c r="C121" s="1" t="s">
        <v>44</v>
      </c>
      <c r="D121" s="1" t="s">
        <v>45</v>
      </c>
      <c r="E121" s="34">
        <v>3.7499999999999999E-2</v>
      </c>
      <c r="F121" s="20">
        <v>7.4999999999999997E-2</v>
      </c>
      <c r="G121" s="58">
        <v>0.1</v>
      </c>
    </row>
    <row r="122" spans="1:12" hidden="1" x14ac:dyDescent="0.3">
      <c r="A122" s="16"/>
      <c r="B122" s="47"/>
      <c r="C122" s="1"/>
      <c r="D122" s="1"/>
      <c r="E122" s="1"/>
      <c r="F122" s="1"/>
      <c r="G122" s="17"/>
      <c r="K122" s="73"/>
    </row>
    <row r="123" spans="1:12" hidden="1" x14ac:dyDescent="0.3">
      <c r="A123" s="16">
        <v>2</v>
      </c>
      <c r="B123" s="47"/>
      <c r="C123" s="1" t="s">
        <v>46</v>
      </c>
      <c r="D123" s="1" t="s">
        <v>39</v>
      </c>
      <c r="E123" s="20">
        <v>0.15</v>
      </c>
      <c r="F123" s="20">
        <v>0.15</v>
      </c>
      <c r="G123" s="21">
        <v>0.15</v>
      </c>
    </row>
    <row r="124" spans="1:12" hidden="1" x14ac:dyDescent="0.3">
      <c r="A124" s="16"/>
      <c r="B124" s="47"/>
      <c r="C124" s="1"/>
      <c r="D124" s="1"/>
      <c r="E124" s="1"/>
      <c r="F124" s="1"/>
      <c r="G124" s="17"/>
    </row>
    <row r="125" spans="1:12" hidden="1" x14ac:dyDescent="0.3">
      <c r="A125" s="16">
        <v>3</v>
      </c>
      <c r="B125" s="1"/>
      <c r="C125" s="1" t="s">
        <v>49</v>
      </c>
      <c r="D125" s="1" t="s">
        <v>36</v>
      </c>
      <c r="E125" s="20">
        <v>0.15</v>
      </c>
      <c r="F125" s="20">
        <v>0.15</v>
      </c>
      <c r="G125" s="21">
        <v>0.15</v>
      </c>
    </row>
    <row r="126" spans="1:12" hidden="1" x14ac:dyDescent="0.3">
      <c r="A126" s="16"/>
      <c r="B126" s="1"/>
      <c r="C126" s="1"/>
      <c r="D126" s="1"/>
      <c r="E126" s="20">
        <v>0.5</v>
      </c>
      <c r="F126" s="20">
        <v>0.7</v>
      </c>
      <c r="G126" s="21">
        <v>0.85000000000000009</v>
      </c>
    </row>
    <row r="127" spans="1:12" x14ac:dyDescent="0.3">
      <c r="A127" s="16" t="s">
        <v>30</v>
      </c>
      <c r="B127" s="1"/>
      <c r="C127" s="1" t="s">
        <v>31</v>
      </c>
      <c r="D127" s="1"/>
      <c r="E127" s="1"/>
      <c r="F127" s="1"/>
      <c r="G127" s="17"/>
    </row>
    <row r="128" spans="1:12" x14ac:dyDescent="0.3">
      <c r="A128" s="16" t="s">
        <v>33</v>
      </c>
      <c r="B128" s="1"/>
      <c r="C128" s="1" t="s">
        <v>34</v>
      </c>
      <c r="D128" s="1"/>
      <c r="E128" s="20">
        <v>0.9</v>
      </c>
      <c r="F128" s="20">
        <v>1</v>
      </c>
      <c r="G128" s="21">
        <v>1.1499999999999999</v>
      </c>
    </row>
    <row r="129" spans="1:7" x14ac:dyDescent="0.3">
      <c r="A129" s="16"/>
      <c r="B129" s="1"/>
      <c r="C129" s="1" t="s">
        <v>35</v>
      </c>
      <c r="D129" s="1" t="s">
        <v>352</v>
      </c>
      <c r="E129" s="32">
        <v>75</v>
      </c>
      <c r="F129" s="32">
        <v>150</v>
      </c>
      <c r="G129" s="53">
        <v>225</v>
      </c>
    </row>
    <row r="130" spans="1:7" x14ac:dyDescent="0.3">
      <c r="A130" s="16"/>
      <c r="B130" s="1"/>
      <c r="C130" s="1" t="s">
        <v>38</v>
      </c>
      <c r="D130" s="1" t="s">
        <v>42</v>
      </c>
      <c r="E130" s="32">
        <v>100</v>
      </c>
      <c r="F130" s="32">
        <v>225</v>
      </c>
      <c r="G130" s="53">
        <v>300</v>
      </c>
    </row>
    <row r="131" spans="1:7" x14ac:dyDescent="0.3">
      <c r="A131" s="16"/>
      <c r="B131" s="47"/>
      <c r="C131" s="1"/>
      <c r="D131" s="1"/>
      <c r="E131" s="1"/>
      <c r="F131" s="1"/>
      <c r="G131" s="17"/>
    </row>
    <row r="132" spans="1:7" x14ac:dyDescent="0.3">
      <c r="A132" s="16" t="s">
        <v>353</v>
      </c>
      <c r="B132" s="1"/>
      <c r="C132" s="1" t="s">
        <v>49</v>
      </c>
      <c r="D132" s="1" t="s">
        <v>49</v>
      </c>
      <c r="E132" s="32">
        <v>225</v>
      </c>
      <c r="F132" s="32">
        <v>225</v>
      </c>
      <c r="G132" s="53">
        <v>225</v>
      </c>
    </row>
    <row r="133" spans="1:7" x14ac:dyDescent="0.3">
      <c r="A133" s="16"/>
      <c r="B133" s="1"/>
      <c r="C133" s="1"/>
      <c r="D133" s="1"/>
      <c r="E133" s="1"/>
      <c r="F133" s="1"/>
      <c r="G133" s="17"/>
    </row>
    <row r="134" spans="1:7" x14ac:dyDescent="0.3">
      <c r="A134" s="54"/>
      <c r="B134" s="55"/>
      <c r="C134" s="55"/>
      <c r="D134" s="55" t="s">
        <v>17</v>
      </c>
      <c r="E134" s="56">
        <f>SUM(E129:E132)</f>
        <v>400</v>
      </c>
      <c r="F134" s="56">
        <f>SUM(F129:F132)</f>
        <v>600</v>
      </c>
      <c r="G134" s="57">
        <f>SUM(G129:G132)</f>
        <v>750</v>
      </c>
    </row>
  </sheetData>
  <mergeCells count="10">
    <mergeCell ref="U22:W22"/>
    <mergeCell ref="U24:W24"/>
    <mergeCell ref="U25:W25"/>
    <mergeCell ref="U52:W52"/>
    <mergeCell ref="U2:W2"/>
    <mergeCell ref="Z2:AB2"/>
    <mergeCell ref="U12:W12"/>
    <mergeCell ref="U19:W19"/>
    <mergeCell ref="U20:W20"/>
    <mergeCell ref="U21:W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41</vt:i4>
      </vt:variant>
    </vt:vector>
  </HeadingPairs>
  <TitlesOfParts>
    <vt:vector size="41" baseType="lpstr">
      <vt:lpstr>Regras Premiação</vt:lpstr>
      <vt:lpstr>Base App</vt:lpstr>
      <vt:lpstr>Dados</vt:lpstr>
      <vt:lpstr>Regras Premiação (3)</vt:lpstr>
      <vt:lpstr>Quadro Geral Teste</vt:lpstr>
      <vt:lpstr>Base</vt:lpstr>
      <vt:lpstr>Quadro Geral (Treb 100%)</vt:lpstr>
      <vt:lpstr>Quadro Geral</vt:lpstr>
      <vt:lpstr>Edinaldo</vt:lpstr>
      <vt:lpstr>Thieude</vt:lpstr>
      <vt:lpstr>Liliane</vt:lpstr>
      <vt:lpstr>Welessandra</vt:lpstr>
      <vt:lpstr>Carla</vt:lpstr>
      <vt:lpstr>Promotores</vt:lpstr>
      <vt:lpstr>Promotores (2)</vt:lpstr>
      <vt:lpstr>Promotores (3)</vt:lpstr>
      <vt:lpstr>Amanda</vt:lpstr>
      <vt:lpstr>Andressa Neves</vt:lpstr>
      <vt:lpstr>Angela</vt:lpstr>
      <vt:lpstr>Beatriz</vt:lpstr>
      <vt:lpstr>Cleane B.</vt:lpstr>
      <vt:lpstr>Cleisse</vt:lpstr>
      <vt:lpstr>Domingas</vt:lpstr>
      <vt:lpstr>Elenilde</vt:lpstr>
      <vt:lpstr>Érica</vt:lpstr>
      <vt:lpstr>Sheyla</vt:lpstr>
      <vt:lpstr>Kelsiane</vt:lpstr>
      <vt:lpstr>Mailane</vt:lpstr>
      <vt:lpstr>Maria</vt:lpstr>
      <vt:lpstr>Marília</vt:lpstr>
      <vt:lpstr>Nazaré</vt:lpstr>
      <vt:lpstr>Pat. Cris</vt:lpstr>
      <vt:lpstr>Pat. Regina</vt:lpstr>
      <vt:lpstr>Rariel</vt:lpstr>
      <vt:lpstr>Rayara</vt:lpstr>
      <vt:lpstr>Rosicleia</vt:lpstr>
      <vt:lpstr>Sandra</vt:lpstr>
      <vt:lpstr>Sildieny</vt:lpstr>
      <vt:lpstr>Nargila</vt:lpstr>
      <vt:lpstr>Regras Premiação sem S&amp;V</vt:lpstr>
      <vt:lpstr>Regras Premiação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william araujo</cp:lastModifiedBy>
  <dcterms:created xsi:type="dcterms:W3CDTF">2015-06-05T18:17:20Z</dcterms:created>
  <dcterms:modified xsi:type="dcterms:W3CDTF">2026-10-28T12:13:14Z</dcterms:modified>
</cp:coreProperties>
</file>